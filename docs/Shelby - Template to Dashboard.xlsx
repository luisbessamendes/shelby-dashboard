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etorgft18970463-my.sharepoint.com/personal/luis_bm_seestem_eu/Documents/Seestem Operators/02. Screenings &amp; Targets/09. Targets/Shelby/2. DD/"/>
    </mc:Choice>
  </mc:AlternateContent>
  <xr:revisionPtr revIDLastSave="2" documentId="8_{2EC8404A-2F55-4D43-B01E-04BFD82CE034}" xr6:coauthVersionLast="47" xr6:coauthVersionMax="47" xr10:uidLastSave="{B4B7563E-0400-4872-BFBD-8578DA606D1D}"/>
  <bookViews>
    <workbookView xWindow="-120" yWindow="-120" windowWidth="29040" windowHeight="15720" xr2:uid="{410DAF72-51A7-44A3-9A7A-64EB2CD07CB1}"/>
  </bookViews>
  <sheets>
    <sheet name="Loja Alentejo Forum Coimbr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5" i="1" l="1"/>
  <c r="W25" i="1"/>
  <c r="U25" i="1"/>
  <c r="S25" i="1"/>
  <c r="R25" i="1"/>
  <c r="Q25" i="1"/>
  <c r="P25" i="1"/>
  <c r="AD25" i="1" s="1"/>
  <c r="O25" i="1"/>
  <c r="AC25" i="1" s="1"/>
  <c r="N25" i="1"/>
  <c r="AB25" i="1" s="1"/>
  <c r="M25" i="1"/>
  <c r="AA25" i="1" s="1"/>
  <c r="L25" i="1"/>
  <c r="Z25" i="1" s="1"/>
  <c r="K25" i="1"/>
  <c r="AE25" i="1" s="1"/>
  <c r="X24" i="1"/>
  <c r="W24" i="1"/>
  <c r="U24" i="1"/>
  <c r="AI24" i="1" s="1"/>
  <c r="S24" i="1"/>
  <c r="AG24" i="1" s="1"/>
  <c r="R24" i="1"/>
  <c r="AF24" i="1" s="1"/>
  <c r="Q24" i="1"/>
  <c r="P24" i="1"/>
  <c r="O24" i="1"/>
  <c r="N24" i="1"/>
  <c r="M24" i="1"/>
  <c r="L24" i="1"/>
  <c r="K24" i="1"/>
  <c r="X23" i="1"/>
  <c r="W23" i="1"/>
  <c r="U23" i="1"/>
  <c r="S23" i="1"/>
  <c r="R23" i="1"/>
  <c r="AF23" i="1" s="1"/>
  <c r="Q23" i="1"/>
  <c r="AE23" i="1" s="1"/>
  <c r="P23" i="1"/>
  <c r="AD23" i="1" s="1"/>
  <c r="O23" i="1"/>
  <c r="N23" i="1"/>
  <c r="AB23" i="1" s="1"/>
  <c r="M23" i="1"/>
  <c r="AA23" i="1" s="1"/>
  <c r="L23" i="1"/>
  <c r="K23" i="1"/>
  <c r="AI23" i="1" s="1"/>
  <c r="X22" i="1"/>
  <c r="W22" i="1"/>
  <c r="U22" i="1"/>
  <c r="S22" i="1"/>
  <c r="R22" i="1"/>
  <c r="Q22" i="1"/>
  <c r="P22" i="1"/>
  <c r="O22" i="1"/>
  <c r="N22" i="1"/>
  <c r="M22" i="1"/>
  <c r="L22" i="1"/>
  <c r="Z22" i="1" s="1"/>
  <c r="K22" i="1"/>
  <c r="X21" i="1"/>
  <c r="W21" i="1"/>
  <c r="U21" i="1"/>
  <c r="AI21" i="1" s="1"/>
  <c r="S21" i="1"/>
  <c r="AG21" i="1" s="1"/>
  <c r="R21" i="1"/>
  <c r="AF21" i="1" s="1"/>
  <c r="Q21" i="1"/>
  <c r="AE21" i="1" s="1"/>
  <c r="P21" i="1"/>
  <c r="AD21" i="1" s="1"/>
  <c r="O21" i="1"/>
  <c r="AC21" i="1" s="1"/>
  <c r="N21" i="1"/>
  <c r="M21" i="1"/>
  <c r="L21" i="1"/>
  <c r="K21" i="1"/>
  <c r="X20" i="1"/>
  <c r="W20" i="1"/>
  <c r="U20" i="1"/>
  <c r="AI20" i="1" s="1"/>
  <c r="S20" i="1"/>
  <c r="AG20" i="1" s="1"/>
  <c r="R20" i="1"/>
  <c r="AF20" i="1" s="1"/>
  <c r="Q20" i="1"/>
  <c r="AE20" i="1" s="1"/>
  <c r="P20" i="1"/>
  <c r="AD20" i="1" s="1"/>
  <c r="O20" i="1"/>
  <c r="AC20" i="1" s="1"/>
  <c r="N20" i="1"/>
  <c r="AB20" i="1" s="1"/>
  <c r="M20" i="1"/>
  <c r="AA20" i="1" s="1"/>
  <c r="L20" i="1"/>
  <c r="Z20" i="1" s="1"/>
  <c r="K20" i="1"/>
  <c r="X19" i="1"/>
  <c r="W19" i="1"/>
  <c r="U19" i="1"/>
  <c r="S19" i="1"/>
  <c r="R19" i="1"/>
  <c r="Q19" i="1"/>
  <c r="P19" i="1"/>
  <c r="O19" i="1"/>
  <c r="N19" i="1"/>
  <c r="M19" i="1"/>
  <c r="L19" i="1"/>
  <c r="K19" i="1"/>
  <c r="AE18" i="1"/>
  <c r="AC18" i="1"/>
  <c r="X18" i="1"/>
  <c r="W18" i="1"/>
  <c r="U18" i="1"/>
  <c r="AI18" i="1" s="1"/>
  <c r="S18" i="1"/>
  <c r="R18" i="1"/>
  <c r="AF18" i="1" s="1"/>
  <c r="Q18" i="1"/>
  <c r="P18" i="1"/>
  <c r="AD18" i="1" s="1"/>
  <c r="O18" i="1"/>
  <c r="N18" i="1"/>
  <c r="AB18" i="1" s="1"/>
  <c r="M18" i="1"/>
  <c r="AA18" i="1" s="1"/>
  <c r="L18" i="1"/>
  <c r="Z18" i="1" s="1"/>
  <c r="K18" i="1"/>
  <c r="X17" i="1"/>
  <c r="W17" i="1"/>
  <c r="U17" i="1"/>
  <c r="S17" i="1"/>
  <c r="R17" i="1"/>
  <c r="Q17" i="1"/>
  <c r="P17" i="1"/>
  <c r="O17" i="1"/>
  <c r="N17" i="1"/>
  <c r="M17" i="1"/>
  <c r="L17" i="1"/>
  <c r="K17" i="1"/>
  <c r="T17" i="1" s="1"/>
  <c r="V17" i="1" s="1"/>
  <c r="X16" i="1"/>
  <c r="W16" i="1"/>
  <c r="U16" i="1"/>
  <c r="S16" i="1"/>
  <c r="R16" i="1"/>
  <c r="Q16" i="1"/>
  <c r="P16" i="1"/>
  <c r="O16" i="1"/>
  <c r="N16" i="1"/>
  <c r="M16" i="1"/>
  <c r="L16" i="1"/>
  <c r="K16" i="1"/>
  <c r="Z15" i="1"/>
  <c r="X15" i="1"/>
  <c r="W15" i="1"/>
  <c r="U15" i="1"/>
  <c r="AI15" i="1" s="1"/>
  <c r="S15" i="1"/>
  <c r="AG15" i="1" s="1"/>
  <c r="R15" i="1"/>
  <c r="AF15" i="1" s="1"/>
  <c r="Q15" i="1"/>
  <c r="AE15" i="1" s="1"/>
  <c r="P15" i="1"/>
  <c r="AD15" i="1" s="1"/>
  <c r="O15" i="1"/>
  <c r="AC15" i="1" s="1"/>
  <c r="N15" i="1"/>
  <c r="AB15" i="1" s="1"/>
  <c r="M15" i="1"/>
  <c r="AA15" i="1" s="1"/>
  <c r="L15" i="1"/>
  <c r="K15" i="1"/>
  <c r="X14" i="1"/>
  <c r="W14" i="1"/>
  <c r="U14" i="1"/>
  <c r="S14" i="1"/>
  <c r="R14" i="1"/>
  <c r="Q14" i="1"/>
  <c r="P14" i="1"/>
  <c r="O14" i="1"/>
  <c r="N14" i="1"/>
  <c r="M14" i="1"/>
  <c r="L14" i="1"/>
  <c r="K14" i="1"/>
  <c r="T14" i="1" s="1"/>
  <c r="AF13" i="1"/>
  <c r="AE13" i="1"/>
  <c r="AD13" i="1"/>
  <c r="AC13" i="1"/>
  <c r="AB13" i="1"/>
  <c r="X13" i="1"/>
  <c r="W13" i="1"/>
  <c r="U13" i="1"/>
  <c r="AI13" i="1" s="1"/>
  <c r="S13" i="1"/>
  <c r="R13" i="1"/>
  <c r="Q13" i="1"/>
  <c r="P13" i="1"/>
  <c r="O13" i="1"/>
  <c r="N13" i="1"/>
  <c r="M13" i="1"/>
  <c r="L13" i="1"/>
  <c r="K13" i="1"/>
  <c r="AG13" i="1" s="1"/>
  <c r="X12" i="1"/>
  <c r="W12" i="1"/>
  <c r="U12" i="1"/>
  <c r="S12" i="1"/>
  <c r="R12" i="1"/>
  <c r="Q12" i="1"/>
  <c r="P12" i="1"/>
  <c r="O12" i="1"/>
  <c r="N12" i="1"/>
  <c r="M12" i="1"/>
  <c r="AA12" i="1" s="1"/>
  <c r="L12" i="1"/>
  <c r="K12" i="1"/>
  <c r="X11" i="1"/>
  <c r="W11" i="1"/>
  <c r="U11" i="1"/>
  <c r="S11" i="1"/>
  <c r="R11" i="1"/>
  <c r="AF11" i="1" s="1"/>
  <c r="Q11" i="1"/>
  <c r="P11" i="1"/>
  <c r="O11" i="1"/>
  <c r="N11" i="1"/>
  <c r="M11" i="1"/>
  <c r="L11" i="1"/>
  <c r="Z11" i="1" s="1"/>
  <c r="K11" i="1"/>
  <c r="AB10" i="1"/>
  <c r="AA10" i="1"/>
  <c r="Z10" i="1"/>
  <c r="X10" i="1"/>
  <c r="W10" i="1"/>
  <c r="U10" i="1"/>
  <c r="AI10" i="1" s="1"/>
  <c r="S10" i="1"/>
  <c r="AG10" i="1" s="1"/>
  <c r="R10" i="1"/>
  <c r="AF10" i="1" s="1"/>
  <c r="Q10" i="1"/>
  <c r="AE10" i="1" s="1"/>
  <c r="P10" i="1"/>
  <c r="O10" i="1"/>
  <c r="N10" i="1"/>
  <c r="M10" i="1"/>
  <c r="L10" i="1"/>
  <c r="K10" i="1"/>
  <c r="X9" i="1"/>
  <c r="W9" i="1"/>
  <c r="U9" i="1"/>
  <c r="S9" i="1"/>
  <c r="R9" i="1"/>
  <c r="Q9" i="1"/>
  <c r="P9" i="1"/>
  <c r="O9" i="1"/>
  <c r="N9" i="1"/>
  <c r="M9" i="1"/>
  <c r="L9" i="1"/>
  <c r="K9" i="1"/>
  <c r="AD8" i="1"/>
  <c r="AC8" i="1"/>
  <c r="AB8" i="1"/>
  <c r="AA8" i="1"/>
  <c r="X8" i="1"/>
  <c r="W8" i="1"/>
  <c r="U8" i="1"/>
  <c r="S8" i="1"/>
  <c r="R8" i="1"/>
  <c r="Q8" i="1"/>
  <c r="P8" i="1"/>
  <c r="O8" i="1"/>
  <c r="N8" i="1"/>
  <c r="M8" i="1"/>
  <c r="L8" i="1"/>
  <c r="K8" i="1"/>
  <c r="AF8" i="1" s="1"/>
  <c r="X7" i="1"/>
  <c r="W7" i="1"/>
  <c r="U7" i="1"/>
  <c r="AI7" i="1" s="1"/>
  <c r="S7" i="1"/>
  <c r="AG7" i="1" s="1"/>
  <c r="R7" i="1"/>
  <c r="Q7" i="1"/>
  <c r="AE7" i="1" s="1"/>
  <c r="P7" i="1"/>
  <c r="AD7" i="1" s="1"/>
  <c r="O7" i="1"/>
  <c r="AC7" i="1" s="1"/>
  <c r="N7" i="1"/>
  <c r="AB7" i="1" s="1"/>
  <c r="M7" i="1"/>
  <c r="AA7" i="1" s="1"/>
  <c r="L7" i="1"/>
  <c r="Z7" i="1" s="1"/>
  <c r="K7" i="1"/>
  <c r="X6" i="1"/>
  <c r="W6" i="1"/>
  <c r="U6" i="1"/>
  <c r="S6" i="1"/>
  <c r="R6" i="1"/>
  <c r="AF6" i="1" s="1"/>
  <c r="Q6" i="1"/>
  <c r="AE6" i="1" s="1"/>
  <c r="P6" i="1"/>
  <c r="O6" i="1"/>
  <c r="N6" i="1"/>
  <c r="M6" i="1"/>
  <c r="L6" i="1"/>
  <c r="K6" i="1"/>
  <c r="T6" i="1" s="1"/>
  <c r="AA5" i="1"/>
  <c r="Z5" i="1"/>
  <c r="X5" i="1"/>
  <c r="W5" i="1"/>
  <c r="U5" i="1"/>
  <c r="AI5" i="1" s="1"/>
  <c r="S5" i="1"/>
  <c r="AG5" i="1" s="1"/>
  <c r="R5" i="1"/>
  <c r="Q5" i="1"/>
  <c r="P5" i="1"/>
  <c r="O5" i="1"/>
  <c r="N5" i="1"/>
  <c r="M5" i="1"/>
  <c r="L5" i="1"/>
  <c r="K5" i="1"/>
  <c r="X4" i="1"/>
  <c r="W4" i="1"/>
  <c r="U4" i="1"/>
  <c r="AI4" i="1" s="1"/>
  <c r="S4" i="1"/>
  <c r="AG4" i="1" s="1"/>
  <c r="R4" i="1"/>
  <c r="AF4" i="1" s="1"/>
  <c r="Q4" i="1"/>
  <c r="AE4" i="1" s="1"/>
  <c r="P4" i="1"/>
  <c r="AD4" i="1" s="1"/>
  <c r="O4" i="1"/>
  <c r="AC4" i="1" s="1"/>
  <c r="N4" i="1"/>
  <c r="AB4" i="1" s="1"/>
  <c r="M4" i="1"/>
  <c r="AA4" i="1" s="1"/>
  <c r="L4" i="1"/>
  <c r="Z4" i="1" s="1"/>
  <c r="K4" i="1"/>
  <c r="AD3" i="1"/>
  <c r="X3" i="1"/>
  <c r="W3" i="1"/>
  <c r="U3" i="1"/>
  <c r="S3" i="1"/>
  <c r="R3" i="1"/>
  <c r="Q3" i="1"/>
  <c r="P3" i="1"/>
  <c r="O3" i="1"/>
  <c r="AC3" i="1" s="1"/>
  <c r="N3" i="1"/>
  <c r="AB3" i="1" s="1"/>
  <c r="M3" i="1"/>
  <c r="AA3" i="1" s="1"/>
  <c r="L3" i="1"/>
  <c r="Z3" i="1" s="1"/>
  <c r="K3" i="1"/>
  <c r="AE3" i="1" s="1"/>
  <c r="F3" i="1"/>
  <c r="E3" i="1"/>
  <c r="D3" i="1"/>
  <c r="C3" i="1"/>
  <c r="B3" i="1"/>
  <c r="A3" i="1"/>
  <c r="A4" i="1" s="1"/>
  <c r="X2" i="1"/>
  <c r="W2" i="1"/>
  <c r="U2" i="1"/>
  <c r="S2" i="1"/>
  <c r="R2" i="1"/>
  <c r="Q2" i="1"/>
  <c r="P2" i="1"/>
  <c r="O2" i="1"/>
  <c r="N2" i="1"/>
  <c r="M2" i="1"/>
  <c r="L2" i="1"/>
  <c r="K2" i="1"/>
  <c r="I2" i="1"/>
  <c r="J2" i="1" s="1"/>
  <c r="F2" i="1"/>
  <c r="E2" i="1"/>
  <c r="D2" i="1"/>
  <c r="C2" i="1"/>
  <c r="B2" i="1"/>
  <c r="Z12" i="1" l="1"/>
  <c r="Z23" i="1"/>
  <c r="Z9" i="1"/>
  <c r="AD12" i="1"/>
  <c r="Z17" i="1"/>
  <c r="AE12" i="1"/>
  <c r="AA17" i="1"/>
  <c r="T9" i="1"/>
  <c r="AB17" i="1"/>
  <c r="T12" i="1"/>
  <c r="V12" i="1" s="1"/>
  <c r="T11" i="1"/>
  <c r="AH11" i="1" s="1"/>
  <c r="AD17" i="1"/>
  <c r="Z8" i="1"/>
  <c r="T25" i="1"/>
  <c r="V25" i="1" s="1"/>
  <c r="AB2" i="1"/>
  <c r="AF3" i="1"/>
  <c r="AI9" i="1"/>
  <c r="AC11" i="1"/>
  <c r="Z13" i="1"/>
  <c r="AD14" i="1"/>
  <c r="AA19" i="1"/>
  <c r="AC22" i="1"/>
  <c r="AG25" i="1"/>
  <c r="T7" i="1"/>
  <c r="AA9" i="1"/>
  <c r="Z6" i="1"/>
  <c r="AC23" i="1"/>
  <c r="AC9" i="1"/>
  <c r="AC17" i="1"/>
  <c r="AB6" i="1"/>
  <c r="AI12" i="1"/>
  <c r="AD6" i="1"/>
  <c r="AB14" i="1"/>
  <c r="AB11" i="1"/>
  <c r="AD11" i="1"/>
  <c r="AI17" i="1"/>
  <c r="AI3" i="1"/>
  <c r="AF14" i="1"/>
  <c r="AG14" i="1"/>
  <c r="AA16" i="1"/>
  <c r="T19" i="1"/>
  <c r="AF22" i="1"/>
  <c r="Z24" i="1"/>
  <c r="AF2" i="1"/>
  <c r="T5" i="1"/>
  <c r="AI14" i="1"/>
  <c r="AB16" i="1"/>
  <c r="AG18" i="1"/>
  <c r="AE19" i="1"/>
  <c r="AG22" i="1"/>
  <c r="AA24" i="1"/>
  <c r="AF12" i="1"/>
  <c r="AA6" i="1"/>
  <c r="Z14" i="1"/>
  <c r="AC6" i="1"/>
  <c r="AA14" i="1"/>
  <c r="AF9" i="1"/>
  <c r="AG9" i="1"/>
  <c r="AG17" i="1"/>
  <c r="AC2" i="1"/>
  <c r="AE14" i="1"/>
  <c r="AD22" i="1"/>
  <c r="AD2" i="1"/>
  <c r="AE11" i="1"/>
  <c r="Z16" i="1"/>
  <c r="AG2" i="1"/>
  <c r="AC5" i="1"/>
  <c r="AG8" i="1"/>
  <c r="AF19" i="1"/>
  <c r="AB24" i="1"/>
  <c r="AI2" i="1"/>
  <c r="AD5" i="1"/>
  <c r="AI8" i="1"/>
  <c r="AD16" i="1"/>
  <c r="AG19" i="1"/>
  <c r="Z21" i="1"/>
  <c r="AC24" i="1"/>
  <c r="AB12" i="1"/>
  <c r="AC12" i="1"/>
  <c r="AD9" i="1"/>
  <c r="AE9" i="1"/>
  <c r="Z2" i="1"/>
  <c r="AA11" i="1"/>
  <c r="AF17" i="1"/>
  <c r="AA2" i="1"/>
  <c r="AC14" i="1"/>
  <c r="AB22" i="1"/>
  <c r="AG3" i="1"/>
  <c r="T16" i="1"/>
  <c r="AB19" i="1"/>
  <c r="AI25" i="1"/>
  <c r="AC19" i="1"/>
  <c r="T21" i="1"/>
  <c r="AE5" i="1"/>
  <c r="AC10" i="1"/>
  <c r="AE16" i="1"/>
  <c r="AI19" i="1"/>
  <c r="AA21" i="1"/>
  <c r="AD24" i="1"/>
  <c r="AE17" i="1"/>
  <c r="T22" i="1"/>
  <c r="AH22" i="1" s="1"/>
  <c r="Z19" i="1"/>
  <c r="AA13" i="1"/>
  <c r="AE22" i="1"/>
  <c r="T2" i="1"/>
  <c r="AC16" i="1"/>
  <c r="AI22" i="1"/>
  <c r="AF5" i="1"/>
  <c r="AD10" i="1"/>
  <c r="T13" i="1"/>
  <c r="AH13" i="1" s="1"/>
  <c r="AF16" i="1"/>
  <c r="AB21" i="1"/>
  <c r="T24" i="1"/>
  <c r="AH6" i="1"/>
  <c r="V6" i="1"/>
  <c r="AH12" i="1"/>
  <c r="Y17" i="1"/>
  <c r="AK17" i="1" s="1"/>
  <c r="AJ17" i="1"/>
  <c r="V16" i="1"/>
  <c r="AH16" i="1"/>
  <c r="V2" i="1"/>
  <c r="AH2" i="1"/>
  <c r="V19" i="1"/>
  <c r="AH19" i="1"/>
  <c r="A5" i="1"/>
  <c r="I4" i="1"/>
  <c r="J4" i="1" s="1"/>
  <c r="C4" i="1"/>
  <c r="F4" i="1"/>
  <c r="E4" i="1"/>
  <c r="D4" i="1"/>
  <c r="B4" i="1"/>
  <c r="V7" i="1"/>
  <c r="AH7" i="1"/>
  <c r="V5" i="1"/>
  <c r="AH5" i="1"/>
  <c r="AH14" i="1"/>
  <c r="V14" i="1"/>
  <c r="V21" i="1"/>
  <c r="AH21" i="1"/>
  <c r="V9" i="1"/>
  <c r="AH9" i="1"/>
  <c r="V24" i="1"/>
  <c r="AH24" i="1"/>
  <c r="AG23" i="1"/>
  <c r="AB5" i="1"/>
  <c r="AA22" i="1"/>
  <c r="T4" i="1"/>
  <c r="T23" i="1"/>
  <c r="AF25" i="1"/>
  <c r="T18" i="1"/>
  <c r="AE2" i="1"/>
  <c r="AB9" i="1"/>
  <c r="AG12" i="1"/>
  <c r="AH17" i="1"/>
  <c r="AD19" i="1"/>
  <c r="AE24" i="1"/>
  <c r="T8" i="1"/>
  <c r="T3" i="1"/>
  <c r="T20" i="1"/>
  <c r="AG11" i="1"/>
  <c r="T10" i="1"/>
  <c r="AF7" i="1"/>
  <c r="T15" i="1"/>
  <c r="AG6" i="1"/>
  <c r="AI16" i="1"/>
  <c r="AI11" i="1"/>
  <c r="AI6" i="1"/>
  <c r="AE8" i="1"/>
  <c r="I3" i="1"/>
  <c r="J3" i="1" s="1"/>
  <c r="AG16" i="1"/>
  <c r="V11" i="1" l="1"/>
  <c r="AH25" i="1"/>
  <c r="V22" i="1"/>
  <c r="V13" i="1"/>
  <c r="Y2" i="1"/>
  <c r="AK2" i="1" s="1"/>
  <c r="AJ2" i="1"/>
  <c r="AH15" i="1"/>
  <c r="V15" i="1"/>
  <c r="Y24" i="1"/>
  <c r="AK24" i="1" s="1"/>
  <c r="AJ24" i="1"/>
  <c r="AJ16" i="1"/>
  <c r="Y16" i="1"/>
  <c r="AK16" i="1" s="1"/>
  <c r="V4" i="1"/>
  <c r="AH4" i="1"/>
  <c r="AH20" i="1"/>
  <c r="V20" i="1"/>
  <c r="AJ21" i="1"/>
  <c r="Y21" i="1"/>
  <c r="AK21" i="1" s="1"/>
  <c r="AJ25" i="1"/>
  <c r="Y25" i="1"/>
  <c r="AK25" i="1" s="1"/>
  <c r="AJ13" i="1"/>
  <c r="Y13" i="1"/>
  <c r="AK13" i="1" s="1"/>
  <c r="Y14" i="1"/>
  <c r="AK14" i="1" s="1"/>
  <c r="AJ14" i="1"/>
  <c r="AH3" i="1"/>
  <c r="V3" i="1"/>
  <c r="AH8" i="1"/>
  <c r="V8" i="1"/>
  <c r="AJ12" i="1"/>
  <c r="Y12" i="1"/>
  <c r="AK12" i="1" s="1"/>
  <c r="AH23" i="1"/>
  <c r="V23" i="1"/>
  <c r="Y9" i="1"/>
  <c r="AK9" i="1" s="1"/>
  <c r="AJ9" i="1"/>
  <c r="Y5" i="1"/>
  <c r="AK5" i="1" s="1"/>
  <c r="AJ5" i="1"/>
  <c r="Y22" i="1"/>
  <c r="AK22" i="1" s="1"/>
  <c r="AJ22" i="1"/>
  <c r="E5" i="1"/>
  <c r="I5" i="1"/>
  <c r="J5" i="1" s="1"/>
  <c r="F5" i="1"/>
  <c r="D5" i="1"/>
  <c r="C5" i="1"/>
  <c r="B5" i="1"/>
  <c r="A6" i="1"/>
  <c r="AH10" i="1"/>
  <c r="V10" i="1"/>
  <c r="AJ7" i="1"/>
  <c r="Y7" i="1"/>
  <c r="AK7" i="1" s="1"/>
  <c r="AJ6" i="1"/>
  <c r="Y6" i="1"/>
  <c r="AK6" i="1" s="1"/>
  <c r="AJ11" i="1"/>
  <c r="Y11" i="1"/>
  <c r="AK11" i="1" s="1"/>
  <c r="AH18" i="1"/>
  <c r="V18" i="1"/>
  <c r="Y19" i="1"/>
  <c r="AK19" i="1" s="1"/>
  <c r="AJ19" i="1"/>
  <c r="AJ3" i="1" l="1"/>
  <c r="Y3" i="1"/>
  <c r="AK3" i="1" s="1"/>
  <c r="Y10" i="1"/>
  <c r="AK10" i="1" s="1"/>
  <c r="AJ10" i="1"/>
  <c r="AJ4" i="1"/>
  <c r="Y4" i="1"/>
  <c r="AK4" i="1" s="1"/>
  <c r="Y18" i="1"/>
  <c r="AK18" i="1" s="1"/>
  <c r="AJ18" i="1"/>
  <c r="AJ23" i="1"/>
  <c r="Y23" i="1"/>
  <c r="AK23" i="1" s="1"/>
  <c r="I6" i="1"/>
  <c r="J6" i="1" s="1"/>
  <c r="F6" i="1"/>
  <c r="C6" i="1"/>
  <c r="E6" i="1"/>
  <c r="D6" i="1"/>
  <c r="B6" i="1"/>
  <c r="A7" i="1"/>
  <c r="Y15" i="1"/>
  <c r="AK15" i="1" s="1"/>
  <c r="AJ15" i="1"/>
  <c r="AJ8" i="1"/>
  <c r="Y8" i="1"/>
  <c r="AK8" i="1" s="1"/>
  <c r="AJ20" i="1"/>
  <c r="Y20" i="1"/>
  <c r="AK20" i="1" s="1"/>
  <c r="E7" i="1" l="1"/>
  <c r="D7" i="1"/>
  <c r="C7" i="1"/>
  <c r="B7" i="1"/>
  <c r="A8" i="1"/>
  <c r="I7" i="1"/>
  <c r="J7" i="1" s="1"/>
  <c r="F7" i="1"/>
  <c r="A9" i="1" l="1"/>
  <c r="C8" i="1"/>
  <c r="I8" i="1"/>
  <c r="J8" i="1" s="1"/>
  <c r="F8" i="1"/>
  <c r="E8" i="1"/>
  <c r="B8" i="1"/>
  <c r="D8" i="1"/>
  <c r="A10" i="1" l="1"/>
  <c r="E9" i="1"/>
  <c r="D9" i="1"/>
  <c r="I9" i="1"/>
  <c r="J9" i="1" s="1"/>
  <c r="F9" i="1"/>
  <c r="C9" i="1"/>
  <c r="B9" i="1"/>
  <c r="I10" i="1" l="1"/>
  <c r="J10" i="1" s="1"/>
  <c r="D10" i="1"/>
  <c r="C10" i="1"/>
  <c r="B10" i="1"/>
  <c r="A11" i="1"/>
  <c r="E10" i="1"/>
  <c r="F10" i="1"/>
  <c r="A12" i="1" l="1"/>
  <c r="I11" i="1"/>
  <c r="J11" i="1" s="1"/>
  <c r="D11" i="1"/>
  <c r="F11" i="1"/>
  <c r="E11" i="1"/>
  <c r="C11" i="1"/>
  <c r="B11" i="1"/>
  <c r="F12" i="1" l="1"/>
  <c r="E12" i="1"/>
  <c r="D12" i="1"/>
  <c r="C12" i="1"/>
  <c r="B12" i="1"/>
  <c r="A13" i="1"/>
  <c r="I12" i="1"/>
  <c r="J12" i="1" s="1"/>
  <c r="A14" i="1" l="1"/>
  <c r="D13" i="1"/>
  <c r="I13" i="1"/>
  <c r="J13" i="1" s="1"/>
  <c r="F13" i="1"/>
  <c r="E13" i="1"/>
  <c r="C13" i="1"/>
  <c r="B13" i="1"/>
  <c r="B14" i="1" l="1"/>
  <c r="E14" i="1"/>
  <c r="A15" i="1"/>
  <c r="I14" i="1"/>
  <c r="J14" i="1" s="1"/>
  <c r="F14" i="1"/>
  <c r="D14" i="1"/>
  <c r="C14" i="1"/>
  <c r="I15" i="1" l="1"/>
  <c r="J15" i="1" s="1"/>
  <c r="F15" i="1"/>
  <c r="E15" i="1"/>
  <c r="D15" i="1"/>
  <c r="C15" i="1"/>
  <c r="B15" i="1"/>
  <c r="A16" i="1"/>
  <c r="A17" i="1" l="1"/>
  <c r="E16" i="1"/>
  <c r="B16" i="1"/>
  <c r="I16" i="1"/>
  <c r="J16" i="1" s="1"/>
  <c r="F16" i="1"/>
  <c r="D16" i="1"/>
  <c r="C16" i="1"/>
  <c r="I17" i="1" l="1"/>
  <c r="J17" i="1" s="1"/>
  <c r="B17" i="1"/>
  <c r="F17" i="1"/>
  <c r="E17" i="1"/>
  <c r="C17" i="1"/>
  <c r="D17" i="1"/>
  <c r="A18" i="1"/>
  <c r="E18" i="1" l="1"/>
  <c r="A19" i="1"/>
  <c r="I18" i="1"/>
  <c r="J18" i="1" s="1"/>
  <c r="D18" i="1"/>
  <c r="C18" i="1"/>
  <c r="B18" i="1"/>
  <c r="F18" i="1"/>
  <c r="C19" i="1" l="1"/>
  <c r="B19" i="1"/>
  <c r="A20" i="1"/>
  <c r="I19" i="1"/>
  <c r="J19" i="1" s="1"/>
  <c r="F19" i="1"/>
  <c r="E19" i="1"/>
  <c r="D19" i="1"/>
  <c r="I20" i="1" l="1"/>
  <c r="J20" i="1" s="1"/>
  <c r="F20" i="1"/>
  <c r="E20" i="1"/>
  <c r="D20" i="1"/>
  <c r="C20" i="1"/>
  <c r="B20" i="1"/>
  <c r="A21" i="1"/>
  <c r="A22" i="1" l="1"/>
  <c r="F21" i="1"/>
  <c r="I21" i="1"/>
  <c r="J21" i="1" s="1"/>
  <c r="E21" i="1"/>
  <c r="D21" i="1"/>
  <c r="C21" i="1"/>
  <c r="B21" i="1"/>
  <c r="C22" i="1" l="1"/>
  <c r="I22" i="1"/>
  <c r="J22" i="1" s="1"/>
  <c r="F22" i="1"/>
  <c r="E22" i="1"/>
  <c r="B22" i="1"/>
  <c r="A23" i="1"/>
  <c r="D22" i="1"/>
  <c r="I23" i="1" l="1"/>
  <c r="J23" i="1" s="1"/>
  <c r="F23" i="1"/>
  <c r="A24" i="1"/>
  <c r="E23" i="1"/>
  <c r="B23" i="1"/>
  <c r="D23" i="1"/>
  <c r="C23" i="1"/>
  <c r="D24" i="1" l="1"/>
  <c r="C24" i="1"/>
  <c r="B24" i="1"/>
  <c r="A25" i="1"/>
  <c r="I24" i="1"/>
  <c r="J24" i="1" s="1"/>
  <c r="F24" i="1"/>
  <c r="E24" i="1"/>
  <c r="D25" i="1" l="1"/>
  <c r="E25" i="1"/>
  <c r="I25" i="1"/>
  <c r="J25" i="1" s="1"/>
  <c r="F25" i="1"/>
  <c r="C25" i="1"/>
  <c r="B25" i="1"/>
</calcChain>
</file>

<file path=xl/sharedStrings.xml><?xml version="1.0" encoding="utf-8"?>
<sst xmlns="http://schemas.openxmlformats.org/spreadsheetml/2006/main" count="62" uniqueCount="50">
  <si>
    <t>Store</t>
  </si>
  <si>
    <t>Concept</t>
  </si>
  <si>
    <t>Region</t>
  </si>
  <si>
    <t>Type of Store</t>
  </si>
  <si>
    <t>Location</t>
  </si>
  <si>
    <t>Legal Entity</t>
  </si>
  <si>
    <t>Year</t>
  </si>
  <si>
    <t>Month</t>
  </si>
  <si>
    <t>Tickets</t>
  </si>
  <si>
    <t>Average Ticket</t>
  </si>
  <si>
    <t>Sales</t>
  </si>
  <si>
    <t>Raw Materials</t>
  </si>
  <si>
    <t>Staff</t>
  </si>
  <si>
    <t>Rents</t>
  </si>
  <si>
    <t>Utilities</t>
  </si>
  <si>
    <t>Maintenance</t>
  </si>
  <si>
    <t>Banking costs</t>
  </si>
  <si>
    <t>VAT</t>
  </si>
  <si>
    <t>Others</t>
  </si>
  <si>
    <t>Store Contribution</t>
  </si>
  <si>
    <t>Admin. Costs</t>
  </si>
  <si>
    <t>EBITDA</t>
  </si>
  <si>
    <t>CAPEX</t>
  </si>
  <si>
    <t>CIT</t>
  </si>
  <si>
    <t>FCFF</t>
  </si>
  <si>
    <t>Raw Materials %</t>
  </si>
  <si>
    <t>Staff %</t>
  </si>
  <si>
    <t>Rents %</t>
  </si>
  <si>
    <t>Utilities %</t>
  </si>
  <si>
    <t>Maintenance %</t>
  </si>
  <si>
    <t>Banking Costs %</t>
  </si>
  <si>
    <t>VAT %</t>
  </si>
  <si>
    <t>Others %</t>
  </si>
  <si>
    <t>Store Contribution %</t>
  </si>
  <si>
    <t>Admin. Costs %</t>
  </si>
  <si>
    <t>EBITDA %</t>
  </si>
  <si>
    <t>FCFF %</t>
  </si>
  <si>
    <t>Loja Alentejo Forum Coimbra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</si>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</sst>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right" indent="1"/>
    </xf>
    <xf numFmtId="165" fontId="0" fillId="0" borderId="0" xfId="1" applyNumberFormat="1" applyFont="1" applyAlignment="1">
      <alignment horizontal="right" indent="1"/>
    </xf>
    <xf numFmtId="165" fontId="0" fillId="0" borderId="0" xfId="1" applyNumberFormat="1" applyFont="1" applyAlignment="1">
      <alignment horizontal="right" indent="2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38">
    <dxf>
      <numFmt numFmtId="165" formatCode="0.0%"/>
      <alignment horizontal="right" vertical="bottom" textRotation="0" wrapText="0" relative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164" formatCode="#,##0.0"/>
      <alignment horizontal="right" vertical="bottom" textRotation="0" wrapText="0" 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.%20IM/Project%20Shelby_MapasGest&#227;o_Vers&#227;oEnviada_LM.xlsx" TargetMode="External"/><Relationship Id="rId2" Type="http://schemas.openxmlformats.org/officeDocument/2006/relationships/externalLinkPath" Target="https://netorgft18970463-my.sharepoint.com/personal/luis_bm_seestem_eu/Documents/Seestem%20Operators/02.%20Screenings%20&amp;%20Targets/09.%20Targets/Shelby/1.%20IM/Project%20Shelby_MapasGest&#227;o_Vers&#227;oEnviada_LM.xlsx" TargetMode="External"/><Relationship Id="rId1" Type="http://schemas.openxmlformats.org/officeDocument/2006/relationships/externalLinkPath" Target="/personal/luis_bm_seestem_eu/Documents/Seestem%20Operators/02.%20Screenings%20&amp;%20Targets/09.%20Targets/Shelby/1.%20IM/Project%20Shelby_MapasGest&#227;o_Vers&#227;oEnviada_L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base"/>
      <sheetName val="Global 2025"/>
      <sheetName val="Global 2024"/>
      <sheetName val="Dif Global 2025 vs 2024"/>
      <sheetName val="Dif Conceitos 2025 vs 2024"/>
      <sheetName val="Conceitos 2025 &gt;&gt;&gt;"/>
      <sheetName val="2025 Alentejo"/>
      <sheetName val="2025 Bifanas"/>
      <sheetName val="2025 Bitoque"/>
      <sheetName val="2025 Brasa Rio"/>
      <sheetName val="2025 Italian Republic"/>
      <sheetName val="2025 Aeroporto"/>
      <sheetName val="2025 Kiosks"/>
      <sheetName val="2025 Maria Azeitona"/>
      <sheetName val="2025 Padaria do Bairr"/>
      <sheetName val="2025 Serra da Estrela"/>
      <sheetName val="2025 Others"/>
      <sheetName val="2025 Green Affair"/>
      <sheetName val="Conceitos 2024 &gt;&gt;&gt;"/>
      <sheetName val="2024 Alentejo"/>
      <sheetName val="2024 Bifanas"/>
      <sheetName val="2024 Bitoque"/>
      <sheetName val="2024 Brasa Rio"/>
      <sheetName val="2024 Italian Republic"/>
      <sheetName val="2024 Aeroporto"/>
      <sheetName val="2024 Kiosks"/>
      <sheetName val="2024 Maria Azeitona"/>
      <sheetName val="2024 Padaria do Bairr"/>
      <sheetName val="2024 Serra da Estrela"/>
      <sheetName val="2024 Others"/>
      <sheetName val="2024 Green Affair"/>
      <sheetName val="Detalhe 2025 &gt;&gt;&gt;"/>
      <sheetName val="Alentejo 2025 &gt;&gt;&gt;"/>
      <sheetName val="Loja Alentejo Forum Coimbra"/>
      <sheetName val="Loja Alentejo Cascais"/>
      <sheetName val="Loja Alentejo Alegro"/>
      <sheetName val="Loja Alentejo Almada Forum"/>
      <sheetName val="Loja Alentejo Guia"/>
      <sheetName val="Loja Alentejo Colombo"/>
      <sheetName val="Loja Alentejo UBBO"/>
      <sheetName val="Loja Alentejo Setubal"/>
      <sheetName val="Loja Alentejo VG"/>
      <sheetName val="Loja Alentejo Alma Coimbra"/>
      <sheetName val="Bifanas 2025 &gt;&gt;&gt;"/>
      <sheetName val="Loja Bifanas Forum Coimbra"/>
      <sheetName val="Loja Bifanas Cascais"/>
      <sheetName val="Loja Bifanas Oeiras"/>
      <sheetName val="Loja Bifanas UBBO"/>
      <sheetName val="Loja Bifanas Loures"/>
      <sheetName val="Loja Bifanas Montijo"/>
      <sheetName val="Loja Bifanas Setubal"/>
      <sheetName val="Loja Bifanas VG"/>
      <sheetName val="Loja Bifanas Alegro"/>
      <sheetName val="Bitoque 2025 &gt;&gt;&gt;"/>
      <sheetName val="Loja Bitoque Forum Coimbra"/>
      <sheetName val="Loja Bitoque Mar Shopping"/>
      <sheetName val="Loja Bitoque Arrabida Shopp"/>
      <sheetName val="Loja Bitoque Almada"/>
      <sheetName val="Loja Bitoque UBBO"/>
      <sheetName val="Loja Bitoque Alma Coimbra"/>
      <sheetName val="Brasa Rio 2025 &gt;&gt;&gt;"/>
      <sheetName val="Loja Brasa Rio Forum Aveiro"/>
      <sheetName val="Loja Brasa Rio Leiria"/>
      <sheetName val="Loja Brasa Rio Arrabida"/>
      <sheetName val="Loja Brasa Rio Mar Shopping"/>
      <sheetName val="Loja Brasa Rio Braga Parque"/>
      <sheetName val="Italian Republic 2025 &gt;&gt;&gt;"/>
      <sheetName val="Loja Italian R. Forum Coimbra"/>
      <sheetName val="Loja Italian R. Glicinias Aveir"/>
      <sheetName val="Loja Italian R. Leiria Shop"/>
      <sheetName val="Loja Italian Rua Venceslau Leir"/>
      <sheetName val="Loja Italian R. Norte Shopp"/>
      <sheetName val="Loja Italian R. Mar Shopping"/>
      <sheetName val="Loja Italian R. Braga Parque"/>
      <sheetName val="Loja Italian R. Arrabida Shopp"/>
      <sheetName val="Loja Italian R. Aliados"/>
      <sheetName val="Loja Italian R. Braga Rua"/>
      <sheetName val="Loja I.R. - Alvalade"/>
      <sheetName val="Loja I.R. - Duque D. Ávila"/>
      <sheetName val="Loja I.R. - Almada Forum"/>
      <sheetName val="Loja I.R. - Alegro"/>
      <sheetName val="Loja I.R. - Amoreiras"/>
      <sheetName val="Loja I.R. - Colombo"/>
      <sheetName val="Loja I.R. - Oura Algarve"/>
      <sheetName val="Loja I.R. - Campo Ourique"/>
      <sheetName val="Loja I.R. - Charneca"/>
      <sheetName val="Loja I.R. - UBBO"/>
      <sheetName val="Loja I.R. - Montijo"/>
      <sheetName val="Loja I.R. - Casa dos Bicos"/>
      <sheetName val="Loja I.R. - Rio Sul SHopping"/>
      <sheetName val="Loja I.R. - Faro Algarve"/>
      <sheetName val="Loja I.R. - Almancil"/>
      <sheetName val="Loja I.R. - Cascais"/>
      <sheetName val="Loja I.R. - La Reppublica"/>
      <sheetName val="Loja Carcavelos - Azure"/>
      <sheetName val="Loja I.R. - Parque das Nações"/>
      <sheetName val="Aeroporto 2025 &gt;&gt;&gt;"/>
      <sheetName val="Loja Aerofood"/>
      <sheetName val="Loja Wine Bar"/>
      <sheetName val="Loja Aeroporto - First Class Ca"/>
      <sheetName val="Kiosks 2025 &gt;&gt;&gt;"/>
      <sheetName val="Loja Q.S. Mar Shopping"/>
      <sheetName val="Loja Q.S. Arrabida Shopp"/>
      <sheetName val="Loja Q.S. Cascais"/>
      <sheetName val="Loja Q.S. Oeiras"/>
      <sheetName val="Loja Q.S. Alma Coimbra"/>
      <sheetName val="Loja Cafe Gourmet ICP"/>
      <sheetName val="Loja Cafe Gourmet HCP"/>
      <sheetName val="Loja CG Cascais"/>
      <sheetName val="Loja CG Oeiras"/>
      <sheetName val="Loja CG Saldanha"/>
      <sheetName val="Loja Sical Cascais Loja"/>
      <sheetName val="Loja Q.S. - Alegro Nicola "/>
      <sheetName val="Loja Q.S. - Alegro Boundi"/>
      <sheetName val="Loja Q.S. - Almada Forum"/>
      <sheetName val="Loja Q.S. - Ruby Almada Forum"/>
      <sheetName val="Loja Q.S. - Colombo"/>
      <sheetName val="Loja Q.S. - Loures Shopping"/>
      <sheetName val="Loja Q.S. - Rio Sul Shopping"/>
      <sheetName val="Loja Q.S. - Setubal"/>
      <sheetName val="Loja Q.S. - VG"/>
      <sheetName val="Loja Q.S. - Montijo"/>
      <sheetName val="Loja Sical Cascais Quiosque"/>
      <sheetName val="Loja Doce Creme"/>
      <sheetName val="Maria Azeitona 2025 &gt;&gt;&gt;"/>
      <sheetName val="Loja Maria Azeitona Amadora"/>
      <sheetName val="Loja Maria Azeitona Tires"/>
      <sheetName val="Loja Maria Azeitona Campo Peque"/>
      <sheetName val="Padaria do Bairro 2025 &gt;&gt;&gt;"/>
      <sheetName val="Loja PDB Chiado"/>
      <sheetName val="Loja PDB Duque D. Ávila"/>
      <sheetName val="Loja PDB Estefania"/>
      <sheetName val="Loja PDB Martim Moniz"/>
      <sheetName val="Loja PDB UBBO"/>
      <sheetName val="Loja PDB Autoeuropa"/>
      <sheetName val="Serra da Estrela 2025 &gt;&gt;&gt;"/>
      <sheetName val="Loja S.E. Mar Shopp"/>
      <sheetName val="Loja Serra da Estrela Colombo"/>
      <sheetName val="Loja Serra da Estrela VG"/>
      <sheetName val="Loja Serra da Estrela Amoreiras"/>
      <sheetName val="Loja Serra da Estrela Av. Igrej"/>
      <sheetName val="Others 2025 &gt;&gt;&gt;"/>
      <sheetName val="Loja Jamies Italian"/>
      <sheetName val="Loja Maria Canela"/>
      <sheetName val="Loja Mercato Di Chiesa"/>
      <sheetName val="Loja Musas &amp; Utopias"/>
      <sheetName val="Loja Q.S. - Farggi Colombo"/>
      <sheetName val="Loja Terra Nova"/>
      <sheetName val="Loja Maria Alecrim"/>
      <sheetName val="Loja Sabores Sald - Udon"/>
      <sheetName val="Loja Jamies Pizzeria"/>
      <sheetName val="Green Affair 2025 &gt;&gt;&gt;"/>
      <sheetName val="Loja Sabores Sald - Duque D. Áv"/>
      <sheetName val="Loja Sabores Sald - P. Nações"/>
      <sheetName val="Loja Sabores Sald - Chiado"/>
      <sheetName val="2024 &gt;&gt;&gt;"/>
      <sheetName val="Alentejo 2024 &gt;&gt;&gt;"/>
      <sheetName val="Loja Alentejo Forum Coimbra (2)"/>
      <sheetName val="Loja Alentejo Cascais (2)"/>
      <sheetName val="Loja Alentejo Alegro (2)"/>
      <sheetName val="Loja Alentejo Almada Forum (2)"/>
      <sheetName val="Loja Alentejo Guia (2)"/>
      <sheetName val="Loja Alentejo Colombo (2)"/>
      <sheetName val="Loja Alentejo UBBO (2)"/>
      <sheetName val="Loja Alentejo Setubal (2)"/>
      <sheetName val="Loja Alentejo VG (2)"/>
      <sheetName val="Loja Alentejo Alma Coimbra (2)"/>
      <sheetName val="Bifanas 2024 &gt;&gt;&gt;"/>
      <sheetName val="Loja Bifanas Forum Coimbra (2)"/>
      <sheetName val="Loja Bifanas Cascais (2)"/>
      <sheetName val="Loja Bifanas Oeiras (2)"/>
      <sheetName val="Loja Bifanas UBBO (2)"/>
      <sheetName val="Loja Bifanas Loures (2)"/>
      <sheetName val="Loja Bifanas Montijo (2)"/>
      <sheetName val="Loja Bifanas Setubal (2)"/>
      <sheetName val="Loja Bifanas VG (2)"/>
      <sheetName val="Loja Bifanas Alegro (2)"/>
      <sheetName val="Bitoque 2024 &gt;&gt;&gt;"/>
      <sheetName val="Loja Bitoque Forum Coimbra (2)"/>
      <sheetName val="Loja Bitoque Almada (2)"/>
      <sheetName val="Loja Bitoque UBBO (2)"/>
      <sheetName val="Loja Bitoque Mar Shopping (2)"/>
      <sheetName val="Loja Bitoque Arrabida Shopp (2)"/>
      <sheetName val="Loja Bitoque Alma Coimbra (2)"/>
      <sheetName val="Brasa Rio 2024 &gt;&gt;&gt;"/>
      <sheetName val="Loja Brasa Rio Forum Aveiro (2)"/>
      <sheetName val="Loja Brasa Rio Leiria (2)"/>
      <sheetName val="Loja Brasa Rio Arrabida (2)"/>
      <sheetName val="Loja Brasa Rio Mar Shopping (2)"/>
      <sheetName val="Loja Brasa Rio Braga Parque (2)"/>
      <sheetName val="Italian Republic 2024 &gt;&gt;&gt;"/>
      <sheetName val="Loja Italian R. Forum Coimb (2)"/>
      <sheetName val="Loja Italian R. Glicinias A (2)"/>
      <sheetName val="Loja Italian R. Leiria Shop (2)"/>
      <sheetName val="Loja Italian Rua Venceslau  (2)"/>
      <sheetName val="Loja Italian R. Norte Shopp (2)"/>
      <sheetName val="Loja Italian R. Mar Shoppin (2)"/>
      <sheetName val="Loja IR - Alvalade"/>
      <sheetName val="Loja IR - Av. D. Ávila"/>
      <sheetName val="Loja IR - Almada"/>
      <sheetName val="Loja IR - Alegro"/>
      <sheetName val="Loja IR - Amoreiras"/>
      <sheetName val="Loja IR - Colombo"/>
      <sheetName val="Loja IR - Oura"/>
      <sheetName val="Loja IR - C. Ourique"/>
      <sheetName val="Loja IR - Charneca"/>
      <sheetName val="Loja IR - UBBO"/>
      <sheetName val="Loja IR - Montijo"/>
      <sheetName val="Loja IR - Baixa"/>
      <sheetName val="Loja IR - Seixal"/>
      <sheetName val="Loja IR - Faro"/>
      <sheetName val="Loja IR - Almancil"/>
      <sheetName val="Loja IR - Cascais"/>
      <sheetName val="Loja IR - La Repubblica"/>
      <sheetName val="Loja Carcavelos - Azure (2)"/>
      <sheetName val="Loja Italian R. Arrabida Sh (2)"/>
      <sheetName val="Loja Italian R. Braga Parqu (2)"/>
      <sheetName val="Aeroporto 2024 &gt;&gt;&gt;"/>
      <sheetName val="Loja Aerofood (2)"/>
      <sheetName val="Loja Wine Bar (2)"/>
      <sheetName val="Loja Aeroporto - First Clas (2)"/>
      <sheetName val="Kiosks 2024 &gt;&gt;&gt;"/>
      <sheetName val="Loja Q.S. Alma Coimbra (2)"/>
      <sheetName val="Loja Cafe Gourmet ICP (2)"/>
      <sheetName val="Loja Cafe Gourmet HCP (2)"/>
      <sheetName val="Loja Q.S. Mar Shopping (2)"/>
      <sheetName val="Loja Q.S. Arrabida Shopp (2)"/>
      <sheetName val="Loja Q.S. Via Catarina"/>
      <sheetName val="Loja CG Cascais (2)"/>
      <sheetName val="Loja CG Oeiras (2)"/>
      <sheetName val="Loja CG Saldanha (2)"/>
      <sheetName val="Loja Q.S. Cascais (2)"/>
      <sheetName val="Loja Q.S. Oeiras (2)"/>
      <sheetName val="Loja Sical Cascais Loja (2)"/>
      <sheetName val="Loja Q.S. - Nicola Alegro"/>
      <sheetName val="Loja Q.S. - Boundi Alegro"/>
      <sheetName val="Loja Q.S. - Almada"/>
      <sheetName val="Loja Q.S. - Almada Ruby"/>
      <sheetName val="Loja Q.S. - Colombo (2)"/>
      <sheetName val="Loja Q.S. - Loures"/>
      <sheetName val="Loja Q.S. - Montijo (2)"/>
      <sheetName val="Loja Q.S. - Seixal"/>
      <sheetName val="Loja Q.S. - Alegro Setubal"/>
      <sheetName val="Loja Q.S. - Vasco da Gama"/>
      <sheetName val="Loja Q.S. - Montijo 2"/>
      <sheetName val="Loja Sical Cascais Quiosque (2)"/>
      <sheetName val="Loja Doce Creme (2)"/>
      <sheetName val="Maria Azeitona 2024 &gt;&gt;&gt;"/>
      <sheetName val="Loja Maria Azeitona Amadora (2)"/>
      <sheetName val="Loja Maria Azeitona Tires (2)"/>
      <sheetName val="Loja Maria Azeitona Campo P (2)"/>
      <sheetName val="Padaria do Bairro 2024 &gt;&gt;&gt;"/>
      <sheetName val="Loja PDB Carcavelos"/>
      <sheetName val="Loja PDB Chiado (2)"/>
      <sheetName val="Loja PDB Duque D. Ávila (2)"/>
      <sheetName val="Loja PDB Estefania (2)"/>
      <sheetName val="Loja PDB Martim Moniz (2)"/>
      <sheetName val="Loja PDB Loulé"/>
      <sheetName val="Loja PDB UBBO (2)"/>
      <sheetName val="Loja PDB Autoeuropa (2)"/>
      <sheetName val="Loja PDB Cascais"/>
      <sheetName val="Serra da Estrela 2024 &gt;&gt;&gt;"/>
      <sheetName val="Loja Serra da Estrela Colom (2)"/>
      <sheetName val="Loja S.E. Mar Shopp (2)"/>
      <sheetName val="Loja Serra da Estrela VG (2)"/>
      <sheetName val="Loja Serra da Estrela Amore (2)"/>
      <sheetName val="Loja Serra da Estrela Av. I (2)"/>
      <sheetName val="Others 2024 &gt;&gt;&gt;"/>
      <sheetName val="Loja Q.S. - Colombo Farggi"/>
      <sheetName val="Loja Las Brasas"/>
      <sheetName val="Loja Maria Alecrim (2)"/>
      <sheetName val="Loja Sabores do Saldanha - UDON"/>
      <sheetName val="Loja Maria Canela (2)"/>
      <sheetName val="Loja Sabores do Saldanha -Giule"/>
      <sheetName val="Green Affair 2024 &gt;&gt;&gt;"/>
      <sheetName val="Loja Sabores do Saldanha -D. Áv"/>
      <sheetName val="Loja Sabores do Saldanha -Chiad"/>
      <sheetName val="Loja Sabores do Saldanha -P.N."/>
      <sheetName val="Loja Sabores do Saldanha -Casca"/>
    </sheetNames>
    <sheetDataSet>
      <sheetData sheetId="0">
        <row r="2">
          <cell r="B2" t="str">
            <v>Loja Aerofood</v>
          </cell>
          <cell r="C2" t="str">
            <v>Airport</v>
          </cell>
          <cell r="D2" t="str">
            <v>Airport</v>
          </cell>
          <cell r="E2" t="str">
            <v>Airport</v>
          </cell>
          <cell r="F2" t="str">
            <v>Airport Porto</v>
          </cell>
          <cell r="G2" t="str">
            <v>AERO-FOOD - RESTAURAÇÃO, LDA</v>
          </cell>
          <cell r="H2">
            <v>864057</v>
          </cell>
          <cell r="I2">
            <v>913443</v>
          </cell>
        </row>
        <row r="3">
          <cell r="B3" t="str">
            <v>Loja Aeroporto - First Class Ca</v>
          </cell>
          <cell r="C3" t="str">
            <v>Airport</v>
          </cell>
          <cell r="D3" t="str">
            <v>Airport</v>
          </cell>
          <cell r="E3" t="str">
            <v>Airport</v>
          </cell>
          <cell r="F3" t="str">
            <v>Airport Lisbon</v>
          </cell>
          <cell r="G3" t="str">
            <v>AERO-FOOD - RESTAURAÇÃO, LDA</v>
          </cell>
          <cell r="H3">
            <v>582107</v>
          </cell>
          <cell r="I3">
            <v>620070</v>
          </cell>
        </row>
        <row r="4">
          <cell r="B4" t="str">
            <v>Loja Wine Bar</v>
          </cell>
          <cell r="C4" t="str">
            <v>Airport</v>
          </cell>
          <cell r="D4" t="str">
            <v>Airport</v>
          </cell>
          <cell r="E4" t="str">
            <v>Airport</v>
          </cell>
          <cell r="F4" t="str">
            <v>Airport Porto</v>
          </cell>
          <cell r="G4" t="str">
            <v>FCWB - First Class Wine Bar, Lda</v>
          </cell>
          <cell r="H4">
            <v>257421</v>
          </cell>
          <cell r="I4">
            <v>294118</v>
          </cell>
        </row>
        <row r="5">
          <cell r="B5" t="str">
            <v>Loja Alentejo Alegro</v>
          </cell>
          <cell r="C5" t="str">
            <v>Alentejo</v>
          </cell>
          <cell r="D5" t="str">
            <v>Lisbon</v>
          </cell>
          <cell r="E5" t="str">
            <v>Shopping Mall</v>
          </cell>
          <cell r="F5" t="str">
            <v>Alegro Alfragide</v>
          </cell>
          <cell r="G5" t="str">
            <v>Alentejo Sabores-Restauração, Lda</v>
          </cell>
          <cell r="H5">
            <v>51513</v>
          </cell>
          <cell r="I5">
            <v>54646</v>
          </cell>
        </row>
        <row r="6">
          <cell r="B6" t="str">
            <v>Loja Alentejo Setubal</v>
          </cell>
          <cell r="C6" t="str">
            <v>Alentejo</v>
          </cell>
          <cell r="D6" t="str">
            <v>Lisbon</v>
          </cell>
          <cell r="E6" t="str">
            <v>Shopping Mall</v>
          </cell>
          <cell r="F6" t="str">
            <v>Alegro Setúbal</v>
          </cell>
          <cell r="G6" t="str">
            <v>Sabores do Sul, Lda</v>
          </cell>
          <cell r="H6">
            <v>93328</v>
          </cell>
          <cell r="I6">
            <v>88665</v>
          </cell>
        </row>
        <row r="7">
          <cell r="B7" t="str">
            <v>Loja Alentejo Alma Coimbra</v>
          </cell>
          <cell r="C7" t="str">
            <v>Alentejo</v>
          </cell>
          <cell r="D7" t="str">
            <v>Central Portugal</v>
          </cell>
          <cell r="E7" t="str">
            <v>Shopping Mall</v>
          </cell>
          <cell r="F7" t="str">
            <v>Alma Coimbra</v>
          </cell>
          <cell r="G7" t="str">
            <v>Sabores do Mondego</v>
          </cell>
          <cell r="H7">
            <v>71589</v>
          </cell>
          <cell r="I7">
            <v>70349</v>
          </cell>
        </row>
        <row r="8">
          <cell r="B8" t="str">
            <v>Loja Alentejo Almada Forum</v>
          </cell>
          <cell r="C8" t="str">
            <v>Alentejo</v>
          </cell>
          <cell r="D8" t="str">
            <v>Lisbon</v>
          </cell>
          <cell r="E8" t="str">
            <v>Shopping Mall</v>
          </cell>
          <cell r="F8" t="str">
            <v>Almada Forum</v>
          </cell>
          <cell r="G8" t="str">
            <v>Lagar do Rio-Restauração,Lda</v>
          </cell>
          <cell r="H8">
            <v>95319</v>
          </cell>
          <cell r="I8">
            <v>95076</v>
          </cell>
        </row>
        <row r="9">
          <cell r="B9" t="str">
            <v>Loja Alentejo Cascais</v>
          </cell>
          <cell r="C9" t="str">
            <v>Alentejo</v>
          </cell>
          <cell r="D9" t="str">
            <v>Lisbon</v>
          </cell>
          <cell r="E9" t="str">
            <v>Shopping Mall</v>
          </cell>
          <cell r="F9" t="str">
            <v>Cascais Shopping</v>
          </cell>
          <cell r="G9" t="str">
            <v>Espaço Gourmet</v>
          </cell>
          <cell r="H9">
            <v>64364</v>
          </cell>
          <cell r="I9">
            <v>49362</v>
          </cell>
        </row>
        <row r="10">
          <cell r="B10" t="str">
            <v>Loja Alentejo Colombo</v>
          </cell>
          <cell r="C10" t="str">
            <v>Alentejo</v>
          </cell>
          <cell r="D10" t="str">
            <v>Lisbon</v>
          </cell>
          <cell r="E10" t="str">
            <v>Shopping Mall</v>
          </cell>
          <cell r="F10" t="str">
            <v>Colombo</v>
          </cell>
          <cell r="G10" t="str">
            <v>Lagar Alentejano-Restauração,Lda</v>
          </cell>
          <cell r="H10">
            <v>29357</v>
          </cell>
          <cell r="I10">
            <v>31978</v>
          </cell>
        </row>
        <row r="11">
          <cell r="B11" t="str">
            <v>Loja Alentejo Forum Coimbra</v>
          </cell>
          <cell r="C11" t="str">
            <v>Alentejo</v>
          </cell>
          <cell r="D11" t="str">
            <v>Central Portugal</v>
          </cell>
          <cell r="E11" t="str">
            <v>Shopping Mall</v>
          </cell>
          <cell r="F11" t="str">
            <v>Forum Coimbra</v>
          </cell>
          <cell r="G11" t="str">
            <v>Bifanas do Mondego</v>
          </cell>
          <cell r="H11">
            <v>73533</v>
          </cell>
          <cell r="I11">
            <v>84665</v>
          </cell>
        </row>
        <row r="12">
          <cell r="B12" t="str">
            <v>Loja Alentejo UBBO</v>
          </cell>
          <cell r="C12" t="str">
            <v>Alentejo</v>
          </cell>
          <cell r="D12" t="str">
            <v>Lisbon</v>
          </cell>
          <cell r="E12" t="str">
            <v>Shopping Mall</v>
          </cell>
          <cell r="F12" t="str">
            <v>UBBO</v>
          </cell>
          <cell r="G12" t="str">
            <v>Tarro Alentejano- Restauração, Lda</v>
          </cell>
          <cell r="H12">
            <v>58876</v>
          </cell>
          <cell r="I12">
            <v>54821</v>
          </cell>
        </row>
        <row r="13">
          <cell r="B13" t="str">
            <v>Loja Alentejo VG</v>
          </cell>
          <cell r="C13" t="str">
            <v>Alentejo</v>
          </cell>
          <cell r="D13" t="str">
            <v>Lisbon</v>
          </cell>
          <cell r="E13" t="str">
            <v>Shopping Mall</v>
          </cell>
          <cell r="F13" t="str">
            <v>Vasco da Gama</v>
          </cell>
          <cell r="G13" t="str">
            <v>Brasa Vg - Actividades Hoteleiras, Lda</v>
          </cell>
          <cell r="H13">
            <v>124806</v>
          </cell>
          <cell r="I13">
            <v>115621</v>
          </cell>
        </row>
        <row r="14">
          <cell r="B14" t="str">
            <v>Loja Alentejo Guia</v>
          </cell>
          <cell r="C14" t="str">
            <v>Alentejo</v>
          </cell>
          <cell r="D14" t="str">
            <v>Algarve</v>
          </cell>
          <cell r="E14" t="str">
            <v>Shopping Mall</v>
          </cell>
          <cell r="F14" t="str">
            <v>Algarve Shopping</v>
          </cell>
          <cell r="G14" t="str">
            <v>Estrela da Guia-Restauração.Lda</v>
          </cell>
          <cell r="H14">
            <v>72237</v>
          </cell>
          <cell r="I14">
            <v>88088</v>
          </cell>
        </row>
        <row r="15">
          <cell r="B15" t="str">
            <v>Loja Mercato Di Chiesa</v>
          </cell>
          <cell r="C15" t="str">
            <v>Others</v>
          </cell>
          <cell r="D15" t="str">
            <v>Lisbon</v>
          </cell>
          <cell r="E15" t="str">
            <v>Shopping Mall</v>
          </cell>
          <cell r="F15" t="str">
            <v>Alvalade</v>
          </cell>
          <cell r="G15" t="str">
            <v>AZEITONA COM ALECRIM, LDA.</v>
          </cell>
          <cell r="I15">
            <v>21730</v>
          </cell>
        </row>
        <row r="16">
          <cell r="B16" t="str">
            <v>Loja Carcavelos - Azure</v>
          </cell>
          <cell r="C16" t="str">
            <v>Italian Republic</v>
          </cell>
          <cell r="D16" t="str">
            <v>Lisbon</v>
          </cell>
          <cell r="E16" t="str">
            <v>Others</v>
          </cell>
          <cell r="F16" t="str">
            <v>Campus Carcavelos</v>
          </cell>
          <cell r="G16" t="str">
            <v>O Nevão da Serra-Restauração,Lda</v>
          </cell>
          <cell r="H16">
            <v>20433</v>
          </cell>
          <cell r="I16">
            <v>19936</v>
          </cell>
        </row>
        <row r="17">
          <cell r="B17" t="str">
            <v>Loja Bifanas Cascais</v>
          </cell>
          <cell r="C17" t="str">
            <v>Bifanas</v>
          </cell>
          <cell r="D17" t="str">
            <v>Lisbon</v>
          </cell>
          <cell r="E17" t="str">
            <v>Shopping Mall</v>
          </cell>
          <cell r="F17" t="str">
            <v>Cascais Shopping</v>
          </cell>
          <cell r="G17" t="str">
            <v>Sabores da Descobertas, Cafetarias lda.</v>
          </cell>
          <cell r="H17">
            <v>108706</v>
          </cell>
          <cell r="I17">
            <v>106357</v>
          </cell>
        </row>
        <row r="18">
          <cell r="B18" t="str">
            <v>Loja Bifanas Forum Coimbra</v>
          </cell>
          <cell r="C18" t="str">
            <v>Bifanas</v>
          </cell>
          <cell r="D18" t="str">
            <v>Central Portugal</v>
          </cell>
          <cell r="E18" t="str">
            <v>Shopping Mall</v>
          </cell>
          <cell r="F18" t="str">
            <v>Forum Coimbra</v>
          </cell>
          <cell r="G18" t="str">
            <v>Bifanas do Mondego</v>
          </cell>
          <cell r="H18">
            <v>49800</v>
          </cell>
          <cell r="I18">
            <v>35571</v>
          </cell>
        </row>
        <row r="19">
          <cell r="B19" t="str">
            <v>Loja Bifanas Oeiras</v>
          </cell>
          <cell r="C19" t="str">
            <v>Bifanas</v>
          </cell>
          <cell r="D19" t="str">
            <v>Lisbon</v>
          </cell>
          <cell r="E19" t="str">
            <v>Shopping Mall</v>
          </cell>
          <cell r="F19" t="str">
            <v>Oeiras Parque</v>
          </cell>
          <cell r="G19" t="str">
            <v>CANTINHO DA ESTRELA, LDA.</v>
          </cell>
          <cell r="H19">
            <v>79175</v>
          </cell>
          <cell r="I19">
            <v>79002</v>
          </cell>
        </row>
        <row r="20">
          <cell r="B20" t="str">
            <v>Loja Bifanas Alegro</v>
          </cell>
          <cell r="C20" t="str">
            <v>Bifanas</v>
          </cell>
          <cell r="D20" t="str">
            <v>Lisbon</v>
          </cell>
          <cell r="E20" t="str">
            <v>Shopping Mall</v>
          </cell>
          <cell r="F20" t="str">
            <v>Alegro Alfragide</v>
          </cell>
          <cell r="G20" t="str">
            <v>Alegre Grelha-Restauração.Lda</v>
          </cell>
          <cell r="H20">
            <v>73114</v>
          </cell>
          <cell r="I20">
            <v>81328</v>
          </cell>
        </row>
        <row r="21">
          <cell r="B21" t="str">
            <v>Loja Bifanas Loures</v>
          </cell>
          <cell r="C21" t="str">
            <v>Bifanas</v>
          </cell>
          <cell r="D21" t="str">
            <v>Lisbon</v>
          </cell>
          <cell r="E21" t="str">
            <v>Shopping Mall</v>
          </cell>
          <cell r="F21" t="str">
            <v>Loures Shopping</v>
          </cell>
          <cell r="G21" t="str">
            <v>Lagar Alentejano-Restauração,Lda</v>
          </cell>
          <cell r="H21" t="str">
            <v>?</v>
          </cell>
          <cell r="I21" t="str">
            <v>?</v>
          </cell>
        </row>
        <row r="22">
          <cell r="B22" t="str">
            <v>Loja Bifanas Montijo</v>
          </cell>
          <cell r="C22" t="str">
            <v>Bifanas</v>
          </cell>
          <cell r="D22" t="str">
            <v>Lisbon</v>
          </cell>
          <cell r="E22" t="str">
            <v>Shopping Mall</v>
          </cell>
          <cell r="F22" t="str">
            <v>Alegro Montijo</v>
          </cell>
          <cell r="G22" t="str">
            <v>Bifanas do Tejo - Actividades, Lda</v>
          </cell>
          <cell r="H22">
            <v>77117</v>
          </cell>
          <cell r="I22">
            <v>84417</v>
          </cell>
        </row>
        <row r="23">
          <cell r="B23" t="str">
            <v>Loja Bifanas Setubal</v>
          </cell>
          <cell r="C23" t="str">
            <v>Bifanas</v>
          </cell>
          <cell r="D23" t="str">
            <v>Lisbon</v>
          </cell>
          <cell r="E23" t="str">
            <v>Shopping Mall</v>
          </cell>
          <cell r="F23" t="str">
            <v>Alegro Setúbal</v>
          </cell>
          <cell r="G23" t="str">
            <v>Bifanas Concept, Lda</v>
          </cell>
          <cell r="H23">
            <v>84756</v>
          </cell>
          <cell r="I23">
            <v>96059</v>
          </cell>
        </row>
        <row r="24">
          <cell r="B24" t="str">
            <v>Loja Bifanas UBBO</v>
          </cell>
          <cell r="C24" t="str">
            <v>Bifanas</v>
          </cell>
          <cell r="D24" t="str">
            <v>Lisbon</v>
          </cell>
          <cell r="E24" t="str">
            <v>Shopping Mall</v>
          </cell>
          <cell r="F24" t="str">
            <v>UBBO</v>
          </cell>
          <cell r="G24" t="str">
            <v>Bifanas do Tejo - Actividades, Lda</v>
          </cell>
          <cell r="H24">
            <v>109265</v>
          </cell>
          <cell r="I24">
            <v>113632</v>
          </cell>
        </row>
        <row r="25">
          <cell r="B25" t="str">
            <v>Loja Bifanas VG</v>
          </cell>
          <cell r="C25" t="str">
            <v>Bifanas</v>
          </cell>
          <cell r="D25" t="str">
            <v>Lisbon</v>
          </cell>
          <cell r="E25" t="str">
            <v>Shopping Mall</v>
          </cell>
          <cell r="F25" t="str">
            <v>Vasco da Gama</v>
          </cell>
          <cell r="G25" t="str">
            <v>VGS - RESTAURAÇÃO, UNIPESSOAL, LDA</v>
          </cell>
          <cell r="H25">
            <v>202959</v>
          </cell>
          <cell r="I25">
            <v>207674</v>
          </cell>
        </row>
        <row r="26">
          <cell r="B26" t="str">
            <v>Loja Bitoque Alma Coimbra</v>
          </cell>
          <cell r="C26" t="str">
            <v>Bitoque no Ponto</v>
          </cell>
          <cell r="D26" t="str">
            <v>Central Portugal</v>
          </cell>
          <cell r="E26" t="str">
            <v>Shopping Mall</v>
          </cell>
          <cell r="F26" t="str">
            <v>Alma Coimbra</v>
          </cell>
          <cell r="G26" t="str">
            <v>Sabores do Mondego</v>
          </cell>
          <cell r="H26">
            <v>39051</v>
          </cell>
          <cell r="I26">
            <v>35569</v>
          </cell>
        </row>
        <row r="27">
          <cell r="B27" t="str">
            <v>Loja Bitoque Arrabida Shopp</v>
          </cell>
          <cell r="C27" t="str">
            <v>Bitoque no Ponto</v>
          </cell>
          <cell r="D27" t="str">
            <v>Porto</v>
          </cell>
          <cell r="E27" t="str">
            <v>Shopping Mall</v>
          </cell>
          <cell r="F27" t="str">
            <v>Arrabida Shopping</v>
          </cell>
          <cell r="G27" t="str">
            <v>Estrela das Antas, Lda.</v>
          </cell>
          <cell r="H27">
            <v>40241</v>
          </cell>
          <cell r="I27">
            <v>37475</v>
          </cell>
        </row>
        <row r="28">
          <cell r="B28" t="str">
            <v>Loja Bitoque Forum Coimbra</v>
          </cell>
          <cell r="C28" t="str">
            <v>Bitoque no Ponto</v>
          </cell>
          <cell r="D28" t="str">
            <v>Central Portugal</v>
          </cell>
          <cell r="E28" t="str">
            <v>Shopping Mall</v>
          </cell>
          <cell r="F28" t="str">
            <v>Forum Coimbra</v>
          </cell>
          <cell r="G28" t="str">
            <v>Bitoque Do Mondego,Lda</v>
          </cell>
          <cell r="H28">
            <v>33046</v>
          </cell>
          <cell r="I28">
            <v>32770</v>
          </cell>
        </row>
        <row r="29">
          <cell r="B29" t="str">
            <v>Loja Bitoque Mar Shopping</v>
          </cell>
          <cell r="C29" t="str">
            <v>Bitoque no Ponto</v>
          </cell>
          <cell r="D29" t="str">
            <v>Porto</v>
          </cell>
          <cell r="E29" t="str">
            <v>Shopping Mall</v>
          </cell>
          <cell r="F29" t="str">
            <v>Mar Shopping</v>
          </cell>
          <cell r="G29" t="str">
            <v>Estrela Nascente - Restauração, lda</v>
          </cell>
          <cell r="H29">
            <v>73720</v>
          </cell>
          <cell r="I29">
            <v>70204</v>
          </cell>
        </row>
        <row r="30">
          <cell r="B30" t="str">
            <v>Loja Bitoque Almada</v>
          </cell>
          <cell r="C30" t="str">
            <v>Bitoque no Ponto</v>
          </cell>
          <cell r="D30" t="str">
            <v>Lisbon</v>
          </cell>
          <cell r="E30" t="str">
            <v>Shopping Mall</v>
          </cell>
          <cell r="F30" t="str">
            <v>Almada Forum</v>
          </cell>
          <cell r="G30" t="str">
            <v>Bitoque no Ponto,Lda</v>
          </cell>
          <cell r="H30">
            <v>64033</v>
          </cell>
          <cell r="I30">
            <v>69664</v>
          </cell>
        </row>
        <row r="31">
          <cell r="B31" t="str">
            <v>Loja Bitoque UBBO</v>
          </cell>
          <cell r="C31" t="str">
            <v>Bitoque no Ponto</v>
          </cell>
          <cell r="D31" t="str">
            <v>Lisbon</v>
          </cell>
          <cell r="E31" t="str">
            <v>Shopping Mall</v>
          </cell>
          <cell r="F31" t="str">
            <v>UBBO</v>
          </cell>
          <cell r="G31" t="str">
            <v>Bitoque Dolce Vita - Actividades Hoteleiras, Lda</v>
          </cell>
          <cell r="H31">
            <v>51744</v>
          </cell>
          <cell r="I31">
            <v>51676</v>
          </cell>
        </row>
        <row r="32">
          <cell r="B32" t="str">
            <v>Loja Brasa Rio Arrabida</v>
          </cell>
          <cell r="C32" t="str">
            <v>Brasa Rio</v>
          </cell>
          <cell r="D32" t="str">
            <v>Porto</v>
          </cell>
          <cell r="E32" t="str">
            <v>Shopping Mall</v>
          </cell>
          <cell r="F32" t="str">
            <v>Arrabida Shopping</v>
          </cell>
          <cell r="G32" t="str">
            <v>Arrabida na Grelha</v>
          </cell>
          <cell r="H32">
            <v>30393</v>
          </cell>
          <cell r="I32">
            <v>40700</v>
          </cell>
        </row>
        <row r="33">
          <cell r="B33" t="str">
            <v>Loja Brasa Rio Braga Parque</v>
          </cell>
          <cell r="C33" t="str">
            <v>Brasa Rio</v>
          </cell>
          <cell r="D33" t="str">
            <v>Porto</v>
          </cell>
          <cell r="E33" t="str">
            <v>Shopping Mall</v>
          </cell>
          <cell r="F33" t="str">
            <v>Braga Parque</v>
          </cell>
          <cell r="G33" t="str">
            <v>Brasa Parque</v>
          </cell>
          <cell r="H33">
            <v>132637</v>
          </cell>
          <cell r="I33">
            <v>136457</v>
          </cell>
        </row>
        <row r="34">
          <cell r="B34" t="str">
            <v>Loja Brasa Rio Forum Aveiro</v>
          </cell>
          <cell r="C34" t="str">
            <v>Brasa Rio</v>
          </cell>
          <cell r="D34" t="str">
            <v>Central Portugal</v>
          </cell>
          <cell r="E34" t="str">
            <v>Shopping Mall</v>
          </cell>
          <cell r="F34" t="str">
            <v>Forum Aveiro</v>
          </cell>
          <cell r="G34" t="str">
            <v>Leiria na Grelha</v>
          </cell>
          <cell r="H34">
            <v>57190</v>
          </cell>
          <cell r="I34">
            <v>56326</v>
          </cell>
        </row>
        <row r="35">
          <cell r="B35" t="str">
            <v>Loja Brasa Rio Leiria</v>
          </cell>
          <cell r="C35" t="str">
            <v>Brasa Rio</v>
          </cell>
          <cell r="D35" t="str">
            <v>Central Portugal</v>
          </cell>
          <cell r="E35" t="str">
            <v>Shopping Mall</v>
          </cell>
          <cell r="F35" t="str">
            <v>Leiria Shopping</v>
          </cell>
          <cell r="G35" t="str">
            <v>Bifanas do Mondego</v>
          </cell>
          <cell r="H35">
            <v>103383</v>
          </cell>
          <cell r="I35">
            <v>102135</v>
          </cell>
        </row>
        <row r="36">
          <cell r="B36" t="str">
            <v>Loja Brasa Rio Mar Shopping</v>
          </cell>
          <cell r="C36" t="str">
            <v>Brasa Rio</v>
          </cell>
          <cell r="D36" t="str">
            <v>Porto</v>
          </cell>
          <cell r="E36" t="str">
            <v>Shopping Mall</v>
          </cell>
          <cell r="F36" t="str">
            <v>Mar Shopping</v>
          </cell>
          <cell r="G36" t="str">
            <v>Brasa Ria, Restauração,lda</v>
          </cell>
          <cell r="H36">
            <v>75049</v>
          </cell>
          <cell r="I36">
            <v>76845</v>
          </cell>
        </row>
        <row r="37">
          <cell r="B37" t="str">
            <v>Loja CG Cascais</v>
          </cell>
          <cell r="C37" t="str">
            <v>Kiosks</v>
          </cell>
          <cell r="D37" t="str">
            <v>Lisbon</v>
          </cell>
          <cell r="E37" t="str">
            <v>Shopping Mall</v>
          </cell>
          <cell r="F37" t="str">
            <v>Cascais Shopping</v>
          </cell>
          <cell r="G37" t="str">
            <v>Coffee Delight-Cafetarias,Lda</v>
          </cell>
          <cell r="H37">
            <v>173855</v>
          </cell>
          <cell r="I37">
            <v>166235</v>
          </cell>
        </row>
        <row r="38">
          <cell r="B38" t="str">
            <v>Loja Cafe Gourmet HCP</v>
          </cell>
          <cell r="C38" t="str">
            <v>Kiosks</v>
          </cell>
          <cell r="D38" t="str">
            <v>Porto</v>
          </cell>
          <cell r="E38" t="str">
            <v>Others</v>
          </cell>
          <cell r="F38" t="str">
            <v>Hospital CUF</v>
          </cell>
          <cell r="G38" t="str">
            <v>Sabores Sete Bicas - Restauração,lda</v>
          </cell>
          <cell r="H38">
            <v>248691</v>
          </cell>
          <cell r="I38">
            <v>131439</v>
          </cell>
        </row>
        <row r="39">
          <cell r="B39" t="str">
            <v>Loja Cafe Gourmet ICP</v>
          </cell>
          <cell r="C39" t="str">
            <v>Kiosks</v>
          </cell>
          <cell r="D39" t="str">
            <v>Porto</v>
          </cell>
          <cell r="E39" t="str">
            <v>Others</v>
          </cell>
          <cell r="F39" t="str">
            <v>Instituto CUF</v>
          </cell>
          <cell r="G39" t="str">
            <v>Sabores Sete Bicas - Restauração,lda</v>
          </cell>
          <cell r="H39">
            <v>123572</v>
          </cell>
          <cell r="I39">
            <v>254843</v>
          </cell>
        </row>
        <row r="40">
          <cell r="B40" t="str">
            <v>Loja CG Oeiras</v>
          </cell>
          <cell r="C40" t="str">
            <v>Kiosks</v>
          </cell>
          <cell r="D40" t="str">
            <v>Lisbon</v>
          </cell>
          <cell r="E40" t="str">
            <v>Shopping Mall</v>
          </cell>
          <cell r="F40" t="str">
            <v>Oeiras Parque</v>
          </cell>
          <cell r="G40" t="str">
            <v>Coffee Delight-Cafetarias,Lda</v>
          </cell>
          <cell r="H40">
            <v>151922</v>
          </cell>
          <cell r="I40">
            <v>147086</v>
          </cell>
        </row>
        <row r="41">
          <cell r="B41" t="str">
            <v>Loja CG Saldanha</v>
          </cell>
          <cell r="C41" t="str">
            <v>Kiosks</v>
          </cell>
          <cell r="D41" t="str">
            <v>Lisbon</v>
          </cell>
          <cell r="E41" t="str">
            <v>Shopping Mall</v>
          </cell>
          <cell r="F41" t="str">
            <v>Atrium Saldanha</v>
          </cell>
          <cell r="G41" t="str">
            <v>Sabores do Saldanha</v>
          </cell>
          <cell r="H41">
            <v>141947</v>
          </cell>
          <cell r="I41">
            <v>113119</v>
          </cell>
        </row>
        <row r="42">
          <cell r="B42" t="str">
            <v>Loja Doce Creme</v>
          </cell>
          <cell r="C42" t="str">
            <v>Kiosks</v>
          </cell>
          <cell r="D42" t="str">
            <v>Lisbon</v>
          </cell>
          <cell r="E42" t="str">
            <v>High Street</v>
          </cell>
          <cell r="F42" t="str">
            <v>Corroios</v>
          </cell>
          <cell r="G42" t="str">
            <v>SOUTH COAST FOOD, LDA</v>
          </cell>
          <cell r="H42">
            <v>187140</v>
          </cell>
          <cell r="I42">
            <v>247758</v>
          </cell>
        </row>
        <row r="43">
          <cell r="B43" t="str">
            <v>Loja Italian R. Arrabida Shopp</v>
          </cell>
          <cell r="C43" t="str">
            <v>Italian Republic</v>
          </cell>
          <cell r="D43" t="str">
            <v>Porto</v>
          </cell>
          <cell r="E43" t="str">
            <v>Shopping Mall</v>
          </cell>
          <cell r="F43" t="str">
            <v>Arrabida Shopping</v>
          </cell>
          <cell r="G43" t="str">
            <v>BPF - CAFETARIAS, LDA</v>
          </cell>
          <cell r="H43">
            <v>50732</v>
          </cell>
          <cell r="I43">
            <v>49459</v>
          </cell>
        </row>
        <row r="44">
          <cell r="B44" t="str">
            <v>Loja Italian R. Braga Parque</v>
          </cell>
          <cell r="C44" t="str">
            <v>Italian Republic</v>
          </cell>
          <cell r="D44" t="str">
            <v>Porto</v>
          </cell>
          <cell r="E44" t="str">
            <v>Shopping Mall</v>
          </cell>
          <cell r="F44" t="str">
            <v>Braga Parque</v>
          </cell>
          <cell r="G44" t="str">
            <v>Pasta sabores - Restauração, lda</v>
          </cell>
          <cell r="H44">
            <v>84303</v>
          </cell>
          <cell r="I44">
            <v>82181</v>
          </cell>
        </row>
        <row r="45">
          <cell r="B45" t="str">
            <v>Loja Italian R. Forum Coimbra</v>
          </cell>
          <cell r="C45" t="str">
            <v>Italian Republic</v>
          </cell>
          <cell r="D45" t="str">
            <v>Central Portugal</v>
          </cell>
          <cell r="E45" t="str">
            <v>Shopping Mall</v>
          </cell>
          <cell r="F45" t="str">
            <v>Forum Coimbra</v>
          </cell>
          <cell r="G45" t="str">
            <v>Pastas do Mondego</v>
          </cell>
          <cell r="H45">
            <v>54360</v>
          </cell>
          <cell r="I45">
            <v>54800</v>
          </cell>
        </row>
        <row r="46">
          <cell r="B46" t="str">
            <v>Loja Italian R. Glicinias Aveir</v>
          </cell>
          <cell r="C46" t="str">
            <v>Italian Republic</v>
          </cell>
          <cell r="D46" t="str">
            <v>Central Portugal</v>
          </cell>
          <cell r="E46" t="str">
            <v>Shopping Mall</v>
          </cell>
          <cell r="F46" t="str">
            <v>Aveiro Glicinias Plaza</v>
          </cell>
          <cell r="G46" t="str">
            <v>Leiria Sabores</v>
          </cell>
          <cell r="H46">
            <v>40162</v>
          </cell>
          <cell r="I46">
            <v>39880</v>
          </cell>
        </row>
        <row r="47">
          <cell r="B47" t="str">
            <v>Loja Italian R. Leiria Shop</v>
          </cell>
          <cell r="C47" t="str">
            <v>Italian Republic</v>
          </cell>
          <cell r="D47" t="str">
            <v>Central Portugal</v>
          </cell>
          <cell r="E47" t="str">
            <v>Shopping Mall</v>
          </cell>
          <cell r="F47" t="str">
            <v>Leiria Shopping</v>
          </cell>
          <cell r="G47" t="str">
            <v>Leiria Sabores</v>
          </cell>
          <cell r="H47">
            <v>58456</v>
          </cell>
          <cell r="I47">
            <v>56572</v>
          </cell>
        </row>
        <row r="48">
          <cell r="B48" t="str">
            <v>Loja Italian R. Mar Shopping</v>
          </cell>
          <cell r="C48" t="str">
            <v>Italian Republic</v>
          </cell>
          <cell r="D48" t="str">
            <v>Porto</v>
          </cell>
          <cell r="E48" t="str">
            <v>Shopping Mall</v>
          </cell>
          <cell r="F48" t="str">
            <v>Mar Shopping</v>
          </cell>
          <cell r="G48" t="str">
            <v>Pasta sabores - Restauração, lda</v>
          </cell>
          <cell r="H48">
            <v>79604</v>
          </cell>
          <cell r="I48">
            <v>81845</v>
          </cell>
        </row>
        <row r="49">
          <cell r="B49" t="str">
            <v>Loja Italian R. Norte Shopp</v>
          </cell>
          <cell r="C49" t="str">
            <v>Italian Republic</v>
          </cell>
          <cell r="D49" t="str">
            <v>Porto</v>
          </cell>
          <cell r="E49" t="str">
            <v>Shopping Mall</v>
          </cell>
          <cell r="F49" t="str">
            <v>Norte Shopping</v>
          </cell>
          <cell r="G49" t="str">
            <v>Estrela das Antas, Lda.</v>
          </cell>
          <cell r="H49">
            <v>82235</v>
          </cell>
          <cell r="I49">
            <v>82960</v>
          </cell>
        </row>
        <row r="50">
          <cell r="B50" t="str">
            <v>Loja Italian R. Aliados</v>
          </cell>
          <cell r="C50" t="str">
            <v>Italian Republic</v>
          </cell>
          <cell r="D50" t="str">
            <v>Porto</v>
          </cell>
          <cell r="E50" t="str">
            <v>High Street</v>
          </cell>
          <cell r="F50" t="str">
            <v>Porto</v>
          </cell>
          <cell r="G50" t="str">
            <v>CÓDIGO BOÉMIO - RESTAURAÇÃO UNIPESSOAL, LDA</v>
          </cell>
          <cell r="I50">
            <v>9876</v>
          </cell>
        </row>
        <row r="51">
          <cell r="B51" t="str">
            <v>Loja Italian Rua Venceslau Leir</v>
          </cell>
          <cell r="C51" t="str">
            <v>Italian Republic</v>
          </cell>
          <cell r="D51" t="str">
            <v>Central Portugal</v>
          </cell>
          <cell r="E51" t="str">
            <v>High Street</v>
          </cell>
          <cell r="F51" t="str">
            <v>Leiria</v>
          </cell>
          <cell r="G51" t="str">
            <v>Leiria na Grelha</v>
          </cell>
          <cell r="I51">
            <v>3882</v>
          </cell>
        </row>
        <row r="52">
          <cell r="B52" t="str">
            <v>Loja IR - Alegro</v>
          </cell>
          <cell r="C52" t="str">
            <v>Italian Republic</v>
          </cell>
          <cell r="D52" t="str">
            <v>Lisbon</v>
          </cell>
          <cell r="E52" t="str">
            <v>Shopping Mall</v>
          </cell>
          <cell r="F52" t="str">
            <v>Alegro Alfragide</v>
          </cell>
          <cell r="G52" t="str">
            <v>Rest E Rest-Restauração e Promoção Hoteleira,Lda</v>
          </cell>
          <cell r="H52">
            <v>58008</v>
          </cell>
          <cell r="I52">
            <v>55238</v>
          </cell>
        </row>
        <row r="53">
          <cell r="B53" t="str">
            <v>Loja IR - Almada</v>
          </cell>
          <cell r="C53" t="str">
            <v>Italian Republic</v>
          </cell>
          <cell r="D53" t="str">
            <v>Lisbon</v>
          </cell>
          <cell r="E53" t="str">
            <v>Shopping Mall</v>
          </cell>
          <cell r="F53" t="str">
            <v>Almada Forum</v>
          </cell>
          <cell r="G53" t="str">
            <v>Italian Concept, lda</v>
          </cell>
          <cell r="H53">
            <v>85844</v>
          </cell>
          <cell r="I53">
            <v>78788</v>
          </cell>
        </row>
        <row r="54">
          <cell r="B54" t="str">
            <v>Loja IR - Almancil</v>
          </cell>
          <cell r="C54" t="str">
            <v>Italian Republic</v>
          </cell>
          <cell r="D54" t="str">
            <v>Algarve</v>
          </cell>
          <cell r="E54" t="str">
            <v>High Street</v>
          </cell>
          <cell r="F54" t="str">
            <v>Almancil</v>
          </cell>
          <cell r="G54" t="str">
            <v>Estrela da Guia-Restauração.Lda</v>
          </cell>
          <cell r="H54">
            <v>7897</v>
          </cell>
          <cell r="I54">
            <v>9200</v>
          </cell>
        </row>
        <row r="55">
          <cell r="B55" t="str">
            <v>Loja IR - Alvalade</v>
          </cell>
          <cell r="C55" t="str">
            <v>Italian Republic</v>
          </cell>
          <cell r="D55" t="str">
            <v>Lisbon</v>
          </cell>
          <cell r="E55" t="str">
            <v>High Street</v>
          </cell>
          <cell r="F55" t="str">
            <v>Lisbon</v>
          </cell>
          <cell r="G55" t="str">
            <v>Italian Concept, lda</v>
          </cell>
          <cell r="H55">
            <v>34949</v>
          </cell>
          <cell r="I55">
            <v>31192</v>
          </cell>
        </row>
        <row r="56">
          <cell r="B56" t="str">
            <v>Loja IR - Amoreiras</v>
          </cell>
          <cell r="C56" t="str">
            <v>Italian Republic</v>
          </cell>
          <cell r="D56" t="str">
            <v>Lisbon</v>
          </cell>
          <cell r="E56" t="str">
            <v>Shopping Mall</v>
          </cell>
          <cell r="F56" t="str">
            <v>Amoreiras Shopping</v>
          </cell>
          <cell r="G56" t="str">
            <v>Rest E Rest-Restauração e Promoção Hoteleira,Lda</v>
          </cell>
          <cell r="H56">
            <v>24508</v>
          </cell>
          <cell r="I56">
            <v>22287</v>
          </cell>
        </row>
        <row r="57">
          <cell r="B57" t="str">
            <v>Loja IR - Baixa</v>
          </cell>
          <cell r="C57" t="str">
            <v>Italian Republic</v>
          </cell>
          <cell r="D57" t="str">
            <v>Lisbon</v>
          </cell>
          <cell r="E57" t="str">
            <v>High Street</v>
          </cell>
          <cell r="F57" t="str">
            <v>Lisbon</v>
          </cell>
          <cell r="G57" t="str">
            <v>Quiosque dos Sabores-Cafetarias,Lda</v>
          </cell>
          <cell r="H57">
            <v>29157</v>
          </cell>
          <cell r="I57">
            <v>25606</v>
          </cell>
        </row>
        <row r="58">
          <cell r="B58" t="str">
            <v>Loja IR - C. Ourique</v>
          </cell>
          <cell r="C58" t="str">
            <v>Italian Republic</v>
          </cell>
          <cell r="D58" t="str">
            <v>Lisbon</v>
          </cell>
          <cell r="E58" t="str">
            <v>High Street</v>
          </cell>
          <cell r="F58" t="str">
            <v>Lisbon</v>
          </cell>
          <cell r="G58" t="str">
            <v>SPACIO SABORES - RESTAURAÇÃO, LDA</v>
          </cell>
          <cell r="H58">
            <v>22467</v>
          </cell>
          <cell r="I58">
            <v>20126</v>
          </cell>
        </row>
        <row r="59">
          <cell r="B59" t="str">
            <v>Loja IR - Cascais</v>
          </cell>
          <cell r="C59" t="str">
            <v>Italian Republic</v>
          </cell>
          <cell r="D59" t="str">
            <v>Lisbon</v>
          </cell>
          <cell r="E59" t="str">
            <v>Shopping Mall</v>
          </cell>
          <cell r="F59" t="str">
            <v>Auchan Cascais</v>
          </cell>
          <cell r="G59" t="str">
            <v>SPACIO SABORES - RESTAURAÇÃO, LDA</v>
          </cell>
          <cell r="H59">
            <v>17983</v>
          </cell>
          <cell r="I59">
            <v>15866</v>
          </cell>
        </row>
        <row r="60">
          <cell r="B60" t="str">
            <v>Loja IR - Charneca</v>
          </cell>
          <cell r="C60" t="str">
            <v>Italian Republic</v>
          </cell>
          <cell r="D60" t="str">
            <v>Lisbon</v>
          </cell>
          <cell r="E60" t="str">
            <v>High Street</v>
          </cell>
          <cell r="F60" t="str">
            <v>Charneca</v>
          </cell>
          <cell r="G60" t="str">
            <v>Lagar do Rio-Restauração,Lda</v>
          </cell>
          <cell r="H60">
            <v>22672</v>
          </cell>
          <cell r="I60">
            <v>21969</v>
          </cell>
        </row>
        <row r="61">
          <cell r="B61" t="str">
            <v>Loja IR - Colombo</v>
          </cell>
          <cell r="C61" t="str">
            <v>Italian Republic</v>
          </cell>
          <cell r="D61" t="str">
            <v>Lisbon</v>
          </cell>
          <cell r="E61" t="str">
            <v>Shopping Mall</v>
          </cell>
          <cell r="F61" t="str">
            <v>Colombo</v>
          </cell>
          <cell r="G61" t="str">
            <v>Rest E Rest-Restauração e Promoção Hoteleira,Lda</v>
          </cell>
          <cell r="H61">
            <v>78699</v>
          </cell>
          <cell r="I61">
            <v>77229</v>
          </cell>
        </row>
        <row r="62">
          <cell r="B62" t="str">
            <v>Loja IR - Av. D. Ávila</v>
          </cell>
          <cell r="C62" t="str">
            <v>Italian Republic</v>
          </cell>
          <cell r="D62" t="str">
            <v>Lisbon</v>
          </cell>
          <cell r="E62" t="str">
            <v>High Street</v>
          </cell>
          <cell r="F62" t="str">
            <v>Duque D'Ávila</v>
          </cell>
          <cell r="G62" t="str">
            <v>Italian Concept, lda</v>
          </cell>
          <cell r="H62">
            <v>31289</v>
          </cell>
          <cell r="I62">
            <v>28638</v>
          </cell>
        </row>
        <row r="63">
          <cell r="B63" t="str">
            <v>Loja IR - Faro</v>
          </cell>
          <cell r="C63" t="str">
            <v>Italian Republic</v>
          </cell>
          <cell r="D63" t="str">
            <v>Algarve</v>
          </cell>
          <cell r="E63" t="str">
            <v>High Street</v>
          </cell>
          <cell r="F63" t="str">
            <v>Faro</v>
          </cell>
          <cell r="G63" t="str">
            <v>Estrela da Guia-Restauração.Lda</v>
          </cell>
          <cell r="H63">
            <v>9735</v>
          </cell>
          <cell r="I63">
            <v>15269</v>
          </cell>
        </row>
        <row r="64">
          <cell r="B64" t="str">
            <v>Loja IR - La Repubblica</v>
          </cell>
          <cell r="C64" t="str">
            <v>Italian Republic</v>
          </cell>
          <cell r="D64" t="str">
            <v>Lisbon</v>
          </cell>
          <cell r="E64" t="str">
            <v>High Street</v>
          </cell>
          <cell r="F64" t="str">
            <v>Lisbon</v>
          </cell>
          <cell r="G64" t="str">
            <v>VGS - RESTAURAÇÃO, UNIPESSOAL, LDA</v>
          </cell>
          <cell r="H64">
            <v>20121</v>
          </cell>
          <cell r="I64">
            <v>27572</v>
          </cell>
        </row>
        <row r="65">
          <cell r="B65" t="str">
            <v>Loja IR - Montijo</v>
          </cell>
          <cell r="C65" t="str">
            <v>Italian Republic</v>
          </cell>
          <cell r="D65" t="str">
            <v>Lisbon</v>
          </cell>
          <cell r="E65" t="str">
            <v>Shopping Mall</v>
          </cell>
          <cell r="F65" t="str">
            <v>Alegro Montijo</v>
          </cell>
          <cell r="G65" t="str">
            <v>Lagar do Rio-Restauração,Lda</v>
          </cell>
          <cell r="H65">
            <v>61233</v>
          </cell>
          <cell r="I65">
            <v>62633</v>
          </cell>
        </row>
        <row r="66">
          <cell r="B66" t="str">
            <v>Loja IR - Oura</v>
          </cell>
          <cell r="C66" t="str">
            <v>Italian Republic</v>
          </cell>
          <cell r="D66" t="str">
            <v>Algarve</v>
          </cell>
          <cell r="E66" t="str">
            <v>High Street</v>
          </cell>
          <cell r="F66" t="str">
            <v>Albugeira</v>
          </cell>
          <cell r="G66" t="str">
            <v>Estrela da Guia-Restauração.Lda</v>
          </cell>
          <cell r="H66">
            <v>18235</v>
          </cell>
          <cell r="I66">
            <v>16491</v>
          </cell>
        </row>
        <row r="67">
          <cell r="B67" t="str">
            <v>Loja IR - Parque das Nações</v>
          </cell>
          <cell r="C67" t="str">
            <v>Italian Republic</v>
          </cell>
          <cell r="D67" t="str">
            <v>Lisbon</v>
          </cell>
          <cell r="E67" t="str">
            <v>High Street</v>
          </cell>
          <cell r="F67" t="str">
            <v>Parque das Nações</v>
          </cell>
          <cell r="G67" t="str">
            <v>Lagar Alentejano-Restauração,Lda</v>
          </cell>
          <cell r="I67">
            <v>25093</v>
          </cell>
        </row>
        <row r="68">
          <cell r="B68" t="str">
            <v>Loja IR - Seixal</v>
          </cell>
          <cell r="C68" t="str">
            <v>Italian Republic</v>
          </cell>
          <cell r="D68" t="str">
            <v>Lisbon</v>
          </cell>
          <cell r="E68" t="str">
            <v>Shopping Mall</v>
          </cell>
          <cell r="F68" t="str">
            <v>Rio Sul Shopping</v>
          </cell>
          <cell r="G68" t="str">
            <v>Lagar do Rio-Restauração,Lda</v>
          </cell>
          <cell r="H68">
            <v>40703</v>
          </cell>
          <cell r="I68">
            <v>38510</v>
          </cell>
        </row>
        <row r="69">
          <cell r="B69" t="str">
            <v>Loja IR - UBBO</v>
          </cell>
          <cell r="C69" t="str">
            <v>Italian Republic</v>
          </cell>
          <cell r="D69" t="str">
            <v>Lisbon</v>
          </cell>
          <cell r="E69" t="str">
            <v>Shopping Mall</v>
          </cell>
          <cell r="F69" t="str">
            <v>UBBO</v>
          </cell>
          <cell r="G69" t="str">
            <v>SPACIO SABORES - RESTAURAÇÃO, LDA</v>
          </cell>
          <cell r="H69">
            <v>55952</v>
          </cell>
          <cell r="I69">
            <v>53953</v>
          </cell>
        </row>
        <row r="70">
          <cell r="B70" t="str">
            <v>Loja IR - Braga Rua</v>
          </cell>
          <cell r="C70" t="str">
            <v>Italian Republic</v>
          </cell>
          <cell r="D70" t="str">
            <v>Porto</v>
          </cell>
          <cell r="E70" t="str">
            <v>High Street</v>
          </cell>
          <cell r="F70" t="str">
            <v>Braga</v>
          </cell>
          <cell r="G70" t="str">
            <v>Brasa Parque</v>
          </cell>
          <cell r="I70">
            <v>1343</v>
          </cell>
        </row>
        <row r="71">
          <cell r="B71" t="str">
            <v>Loja Jamies Italian</v>
          </cell>
          <cell r="C71" t="str">
            <v>Others</v>
          </cell>
          <cell r="D71" t="str">
            <v>Lisbon</v>
          </cell>
          <cell r="E71" t="str">
            <v>High Street</v>
          </cell>
          <cell r="F71" t="str">
            <v>Lisbon</v>
          </cell>
          <cell r="G71" t="str">
            <v>Itfoods - Atividades Hoteleiras Lda</v>
          </cell>
          <cell r="H71">
            <v>22594</v>
          </cell>
          <cell r="I71">
            <v>21036</v>
          </cell>
        </row>
        <row r="72">
          <cell r="B72" t="str">
            <v>Loja Jamies Pizzeria</v>
          </cell>
          <cell r="C72" t="str">
            <v>Others</v>
          </cell>
          <cell r="D72" t="str">
            <v>Lisbon</v>
          </cell>
          <cell r="E72" t="str">
            <v>High Street</v>
          </cell>
          <cell r="F72" t="str">
            <v>Lisbon</v>
          </cell>
          <cell r="G72" t="str">
            <v>Itfoods - Atividades Hoteleiras Lda</v>
          </cell>
          <cell r="H72">
            <v>23042</v>
          </cell>
          <cell r="I72">
            <v>24697</v>
          </cell>
        </row>
        <row r="73">
          <cell r="B73" t="str">
            <v>Loja Las Brasas</v>
          </cell>
          <cell r="C73" t="str">
            <v>Others</v>
          </cell>
          <cell r="D73" t="str">
            <v>Lisbon</v>
          </cell>
          <cell r="E73" t="str">
            <v>High Street</v>
          </cell>
          <cell r="F73" t="str">
            <v>Closed</v>
          </cell>
          <cell r="G73" t="str">
            <v>n.a.</v>
          </cell>
        </row>
        <row r="74">
          <cell r="B74" t="str">
            <v>Loja Musas &amp; Utopias</v>
          </cell>
          <cell r="C74" t="str">
            <v>Others</v>
          </cell>
          <cell r="D74" t="str">
            <v>Lisbon</v>
          </cell>
          <cell r="E74" t="str">
            <v>High Street</v>
          </cell>
          <cell r="F74" t="str">
            <v>Maat</v>
          </cell>
          <cell r="G74" t="str">
            <v>Musas &amp; Utopias, Lda.</v>
          </cell>
          <cell r="I74">
            <v>44855</v>
          </cell>
        </row>
        <row r="75">
          <cell r="B75" t="str">
            <v>Loja Maria Alecrim</v>
          </cell>
          <cell r="C75" t="str">
            <v>Others</v>
          </cell>
          <cell r="D75" t="str">
            <v>Lisbon</v>
          </cell>
          <cell r="E75" t="str">
            <v>High Street</v>
          </cell>
          <cell r="F75" t="str">
            <v>Sobreada</v>
          </cell>
          <cell r="G75" t="str">
            <v>SOUTH COAST FOOD, LDA</v>
          </cell>
          <cell r="H75">
            <v>13919</v>
          </cell>
          <cell r="I75">
            <v>15860</v>
          </cell>
        </row>
        <row r="76">
          <cell r="B76" t="str">
            <v>Loja Maria Azeitona Amadora</v>
          </cell>
          <cell r="C76" t="str">
            <v>Maria Azeitona</v>
          </cell>
          <cell r="D76" t="str">
            <v>Lisbon</v>
          </cell>
          <cell r="E76" t="str">
            <v>High Street</v>
          </cell>
          <cell r="F76" t="str">
            <v>Amadora</v>
          </cell>
          <cell r="G76" t="str">
            <v>AZEITONA COM ALECRIM, LDA.</v>
          </cell>
          <cell r="H76">
            <v>34937</v>
          </cell>
          <cell r="I76">
            <v>30621</v>
          </cell>
        </row>
        <row r="77">
          <cell r="B77" t="str">
            <v>Loja Maria Azeitona Campo Peque</v>
          </cell>
          <cell r="C77" t="str">
            <v>Maria Azeitona</v>
          </cell>
          <cell r="D77" t="str">
            <v>Lisbon</v>
          </cell>
          <cell r="E77" t="str">
            <v>High Street</v>
          </cell>
          <cell r="F77" t="str">
            <v>Campo Pequeno</v>
          </cell>
          <cell r="G77" t="str">
            <v>AZEITONA COM ALECRIM, LDA.</v>
          </cell>
          <cell r="H77">
            <v>23211</v>
          </cell>
          <cell r="I77">
            <v>23102</v>
          </cell>
        </row>
        <row r="78">
          <cell r="B78" t="str">
            <v>Loja Maria Azeitona Tires</v>
          </cell>
          <cell r="C78" t="str">
            <v>Maria Azeitona</v>
          </cell>
          <cell r="D78" t="str">
            <v>Lisbon</v>
          </cell>
          <cell r="E78" t="str">
            <v>Others</v>
          </cell>
          <cell r="F78" t="str">
            <v>Cascais</v>
          </cell>
          <cell r="G78" t="str">
            <v>AZEITONA COM ALECRIM, LDA.</v>
          </cell>
          <cell r="H78">
            <v>25136</v>
          </cell>
          <cell r="I78">
            <v>21923</v>
          </cell>
        </row>
        <row r="79">
          <cell r="B79" t="str">
            <v>Loja Maria Canela</v>
          </cell>
          <cell r="C79" t="str">
            <v>Others</v>
          </cell>
          <cell r="D79" t="str">
            <v>Lisbon</v>
          </cell>
          <cell r="E79" t="str">
            <v>Others</v>
          </cell>
          <cell r="F79" t="str">
            <v>Ibis Aeroporto</v>
          </cell>
          <cell r="G79" t="str">
            <v>Good Old Bread - Atividades Hoteleiras, Lda</v>
          </cell>
          <cell r="H79">
            <v>2929</v>
          </cell>
          <cell r="I79">
            <v>21750</v>
          </cell>
        </row>
        <row r="80">
          <cell r="B80" t="str">
            <v>Loja PDB Autoeuropa</v>
          </cell>
          <cell r="C80" t="str">
            <v>Padaria do Bairro</v>
          </cell>
          <cell r="D80" t="str">
            <v>Lisbon</v>
          </cell>
          <cell r="E80" t="str">
            <v>Others</v>
          </cell>
          <cell r="F80" t="str">
            <v>Autoeuropa</v>
          </cell>
          <cell r="G80" t="str">
            <v>Rotunda dos Sabores, Lda</v>
          </cell>
          <cell r="H80">
            <v>137642</v>
          </cell>
          <cell r="I80">
            <v>151271</v>
          </cell>
        </row>
        <row r="81">
          <cell r="B81" t="str">
            <v>Loja PDB Carcavelos</v>
          </cell>
          <cell r="C81" t="str">
            <v>Padaria do Bairro</v>
          </cell>
          <cell r="D81" t="str">
            <v>Lisbon</v>
          </cell>
          <cell r="E81" t="str">
            <v>Others</v>
          </cell>
          <cell r="F81" t="str">
            <v>Clsoed</v>
          </cell>
          <cell r="G81" t="str">
            <v>n.a.</v>
          </cell>
        </row>
        <row r="82">
          <cell r="B82" t="str">
            <v>Loja PDB Cascais</v>
          </cell>
          <cell r="C82" t="str">
            <v>Padaria do Bairro</v>
          </cell>
          <cell r="D82" t="str">
            <v>Lisbon</v>
          </cell>
          <cell r="E82" t="str">
            <v>Others</v>
          </cell>
          <cell r="F82" t="str">
            <v>Closed</v>
          </cell>
          <cell r="G82" t="str">
            <v>n.a.</v>
          </cell>
        </row>
        <row r="83">
          <cell r="B83" t="str">
            <v>Loja PDB Chiado</v>
          </cell>
          <cell r="C83" t="str">
            <v>Padaria do Bairro</v>
          </cell>
          <cell r="D83" t="str">
            <v>Lisbon</v>
          </cell>
          <cell r="E83" t="str">
            <v>High Street</v>
          </cell>
          <cell r="F83" t="str">
            <v>Chiado</v>
          </cell>
          <cell r="G83" t="str">
            <v>Rotunda dos Sabores, Lda</v>
          </cell>
          <cell r="H83">
            <v>89194</v>
          </cell>
          <cell r="I83">
            <v>82932</v>
          </cell>
        </row>
        <row r="84">
          <cell r="B84" t="str">
            <v>Loja PDB Duque D. Ávila</v>
          </cell>
          <cell r="C84" t="str">
            <v>Padaria do Bairro</v>
          </cell>
          <cell r="D84" t="str">
            <v>Lisbon</v>
          </cell>
          <cell r="E84" t="str">
            <v>High Street</v>
          </cell>
          <cell r="F84" t="str">
            <v>Duque D'Ávila</v>
          </cell>
          <cell r="G84" t="str">
            <v>Rotunda dos Sabores, Lda</v>
          </cell>
          <cell r="H84">
            <v>129340</v>
          </cell>
          <cell r="I84">
            <v>120677</v>
          </cell>
        </row>
        <row r="85">
          <cell r="B85" t="str">
            <v>Loja PDB Estefania</v>
          </cell>
          <cell r="C85" t="str">
            <v>Padaria do Bairro</v>
          </cell>
          <cell r="D85" t="str">
            <v>Lisbon</v>
          </cell>
          <cell r="E85" t="str">
            <v>High Street</v>
          </cell>
          <cell r="F85" t="str">
            <v>Estefania</v>
          </cell>
          <cell r="G85" t="str">
            <v>Rotunda dos Sabores, Lda</v>
          </cell>
          <cell r="H85">
            <v>175707</v>
          </cell>
          <cell r="I85">
            <v>177871</v>
          </cell>
        </row>
        <row r="86">
          <cell r="B86" t="str">
            <v>Loja PDB Loulé</v>
          </cell>
          <cell r="C86" t="str">
            <v>Padaria do Bairro</v>
          </cell>
          <cell r="D86" t="str">
            <v>Algarve</v>
          </cell>
          <cell r="E86" t="str">
            <v>Shopping Mall</v>
          </cell>
          <cell r="F86" t="str">
            <v>Closed</v>
          </cell>
          <cell r="G86" t="str">
            <v>n.a.</v>
          </cell>
        </row>
        <row r="87">
          <cell r="B87" t="str">
            <v>Loja PDB Martim Moniz</v>
          </cell>
          <cell r="C87" t="str">
            <v>Padaria do Bairro</v>
          </cell>
          <cell r="D87" t="str">
            <v>Lisbon</v>
          </cell>
          <cell r="E87" t="str">
            <v>High Street</v>
          </cell>
          <cell r="F87" t="str">
            <v>Martim Moniz</v>
          </cell>
          <cell r="G87" t="str">
            <v>Rotunda dos Sabores, Lda</v>
          </cell>
          <cell r="H87">
            <v>111842</v>
          </cell>
          <cell r="I87">
            <v>92666</v>
          </cell>
        </row>
        <row r="88">
          <cell r="B88" t="str">
            <v>Loja PDB UBBO</v>
          </cell>
          <cell r="C88" t="str">
            <v>Padaria do Bairro</v>
          </cell>
          <cell r="D88" t="str">
            <v>Lisbon</v>
          </cell>
          <cell r="E88" t="str">
            <v>Shopping Mall</v>
          </cell>
          <cell r="F88" t="str">
            <v>UBBO</v>
          </cell>
          <cell r="G88" t="str">
            <v>Rotunda dos Sabores, Lda</v>
          </cell>
          <cell r="H88">
            <v>190467</v>
          </cell>
          <cell r="I88">
            <v>184650</v>
          </cell>
        </row>
        <row r="89">
          <cell r="B89" t="str">
            <v>Loja Q.S. Alma Coimbra</v>
          </cell>
          <cell r="C89" t="str">
            <v>Kiosks</v>
          </cell>
          <cell r="D89" t="str">
            <v>Central Portugal</v>
          </cell>
          <cell r="E89" t="str">
            <v>Shopping Mall</v>
          </cell>
          <cell r="F89" t="str">
            <v>Alma Coimbra</v>
          </cell>
          <cell r="G89" t="str">
            <v>Sabores do Mondego</v>
          </cell>
          <cell r="H89">
            <v>144990</v>
          </cell>
          <cell r="I89">
            <v>153248</v>
          </cell>
        </row>
        <row r="90">
          <cell r="B90" t="str">
            <v>Loja Q.S. Arrabida Shopp</v>
          </cell>
          <cell r="C90" t="str">
            <v>Kiosks</v>
          </cell>
          <cell r="D90" t="str">
            <v>Porto</v>
          </cell>
          <cell r="E90" t="str">
            <v>Shopping Mall</v>
          </cell>
          <cell r="F90" t="str">
            <v>Arrabida Shopping</v>
          </cell>
          <cell r="G90" t="str">
            <v>Coffee Delight-Cafetarias,Lda</v>
          </cell>
          <cell r="H90">
            <v>146129</v>
          </cell>
          <cell r="I90">
            <v>153281</v>
          </cell>
        </row>
        <row r="91">
          <cell r="B91" t="str">
            <v>Loja Q.S. Cascais</v>
          </cell>
          <cell r="C91" t="str">
            <v>Kiosks</v>
          </cell>
          <cell r="D91" t="str">
            <v>Lisbon</v>
          </cell>
          <cell r="E91" t="str">
            <v>Shopping Mall</v>
          </cell>
          <cell r="F91" t="str">
            <v>Cascais Shopping</v>
          </cell>
          <cell r="G91" t="str">
            <v>Coffee Delight-Cafetarias,Lda</v>
          </cell>
          <cell r="H91">
            <v>188944</v>
          </cell>
          <cell r="I91">
            <v>185600</v>
          </cell>
        </row>
        <row r="92">
          <cell r="B92" t="str">
            <v>Loja Q.S. Mar Shopping</v>
          </cell>
          <cell r="C92" t="str">
            <v>Kiosks</v>
          </cell>
          <cell r="D92" t="str">
            <v>Porto</v>
          </cell>
          <cell r="E92" t="str">
            <v>Shopping Mall</v>
          </cell>
          <cell r="F92" t="str">
            <v>Mar Shopping</v>
          </cell>
          <cell r="G92" t="str">
            <v>Vitor Gomes &amp; Jorge Arcos - Restauração, Lda.</v>
          </cell>
          <cell r="H92">
            <v>112037</v>
          </cell>
          <cell r="I92">
            <v>119583</v>
          </cell>
        </row>
        <row r="93">
          <cell r="B93" t="str">
            <v>Loja Q.S. Oeiras</v>
          </cell>
          <cell r="C93" t="str">
            <v>Kiosks</v>
          </cell>
          <cell r="D93" t="str">
            <v>Lisbon</v>
          </cell>
          <cell r="E93" t="str">
            <v>Shopping Mall</v>
          </cell>
          <cell r="F93" t="str">
            <v>Oeiras Parque</v>
          </cell>
          <cell r="G93" t="str">
            <v>Coffee Delight-Cafetarias,Lda</v>
          </cell>
          <cell r="H93">
            <v>152561</v>
          </cell>
          <cell r="I93">
            <v>149985</v>
          </cell>
        </row>
        <row r="94">
          <cell r="B94" t="str">
            <v>Loja Q.S. Via Catarina</v>
          </cell>
          <cell r="C94" t="str">
            <v>Kiosks</v>
          </cell>
          <cell r="D94" t="str">
            <v>Porto</v>
          </cell>
          <cell r="E94" t="str">
            <v>Shopping Mall</v>
          </cell>
          <cell r="F94" t="str">
            <v>Closed</v>
          </cell>
          <cell r="G94" t="str">
            <v>n.a.</v>
          </cell>
        </row>
        <row r="95">
          <cell r="B95" t="str">
            <v>Loja Q.S. - Boundi Alegro</v>
          </cell>
          <cell r="C95" t="str">
            <v>Kiosks</v>
          </cell>
          <cell r="D95" t="str">
            <v>Lisbon</v>
          </cell>
          <cell r="E95" t="str">
            <v>Shopping Mall</v>
          </cell>
          <cell r="F95" t="str">
            <v>Alegro Alfragide</v>
          </cell>
          <cell r="G95" t="str">
            <v>EXPRESSO BEAUTIFUL COFFEE, UNIPESSOAL LDA</v>
          </cell>
          <cell r="H95">
            <v>21364</v>
          </cell>
          <cell r="I95">
            <v>100125</v>
          </cell>
        </row>
        <row r="96">
          <cell r="B96" t="str">
            <v>Loja Q.S. - Nicola Alegro</v>
          </cell>
          <cell r="C96" t="str">
            <v>Kiosks</v>
          </cell>
          <cell r="D96" t="str">
            <v>Lisbon</v>
          </cell>
          <cell r="E96" t="str">
            <v>Shopping Mall</v>
          </cell>
          <cell r="F96" t="str">
            <v>Alegro Alfragide</v>
          </cell>
          <cell r="G96" t="str">
            <v>Coffee Pleasure-Cafetarias,Lda</v>
          </cell>
          <cell r="H96">
            <v>151570</v>
          </cell>
          <cell r="I96">
            <v>146314</v>
          </cell>
        </row>
        <row r="97">
          <cell r="B97" t="str">
            <v>Loja Q.S. - Almada Ruby</v>
          </cell>
          <cell r="C97" t="str">
            <v>Kiosks</v>
          </cell>
          <cell r="D97" t="str">
            <v>Lisbon</v>
          </cell>
          <cell r="E97" t="str">
            <v>Shopping Mall</v>
          </cell>
          <cell r="F97" t="str">
            <v>Almada</v>
          </cell>
          <cell r="G97" t="str">
            <v>Lagar do Rio-Restauração,Lda</v>
          </cell>
          <cell r="H97">
            <v>113337</v>
          </cell>
          <cell r="I97">
            <v>116178</v>
          </cell>
        </row>
        <row r="98">
          <cell r="B98" t="str">
            <v>Loja Q.S. - Almada</v>
          </cell>
          <cell r="C98" t="str">
            <v>Kiosks</v>
          </cell>
          <cell r="D98" t="str">
            <v>Lisbon</v>
          </cell>
          <cell r="E98" t="str">
            <v>Shopping Mall</v>
          </cell>
          <cell r="F98" t="str">
            <v>Almada</v>
          </cell>
          <cell r="G98" t="str">
            <v>Lagar do Rio-Restauração,Lda</v>
          </cell>
          <cell r="H98">
            <v>166024</v>
          </cell>
          <cell r="I98">
            <v>165016</v>
          </cell>
        </row>
        <row r="99">
          <cell r="B99" t="str">
            <v>Loja Q.S. - Colombo</v>
          </cell>
          <cell r="C99" t="str">
            <v>Kiosks</v>
          </cell>
          <cell r="D99" t="str">
            <v>Lisbon</v>
          </cell>
          <cell r="E99" t="str">
            <v>Shopping Mall</v>
          </cell>
          <cell r="F99" t="str">
            <v>Colombo</v>
          </cell>
          <cell r="G99" t="str">
            <v>Quiosque dos Sabores-Cafetarias,Lda</v>
          </cell>
          <cell r="H99">
            <v>149565</v>
          </cell>
          <cell r="I99">
            <v>160596</v>
          </cell>
        </row>
        <row r="100">
          <cell r="B100" t="str">
            <v>Loja Q.S. - Colombo Farggi</v>
          </cell>
          <cell r="C100" t="str">
            <v>Others</v>
          </cell>
          <cell r="D100" t="str">
            <v>Lisbon</v>
          </cell>
          <cell r="E100" t="str">
            <v>Shopping Mall</v>
          </cell>
          <cell r="F100" t="str">
            <v>Colombo</v>
          </cell>
          <cell r="G100" t="str">
            <v>Quiosque dos Sabores-Cafetarias,Lda</v>
          </cell>
          <cell r="H100">
            <v>173733</v>
          </cell>
          <cell r="I100">
            <v>177973</v>
          </cell>
        </row>
        <row r="101">
          <cell r="B101" t="str">
            <v>Loja Q.S. - Loures</v>
          </cell>
          <cell r="C101" t="str">
            <v>Kiosks</v>
          </cell>
          <cell r="D101" t="str">
            <v>Lisbon</v>
          </cell>
          <cell r="E101" t="str">
            <v>Shopping Mall</v>
          </cell>
          <cell r="F101" t="str">
            <v>Loures Shopping</v>
          </cell>
          <cell r="G101" t="str">
            <v>Quiosque dos Sabores-Cafetarias,Lda</v>
          </cell>
          <cell r="H101">
            <v>159608</v>
          </cell>
          <cell r="I101">
            <v>158954</v>
          </cell>
        </row>
        <row r="102">
          <cell r="B102" t="str">
            <v>Loja Q.S. - Montijo 2</v>
          </cell>
          <cell r="C102" t="str">
            <v>Kiosks</v>
          </cell>
          <cell r="D102" t="str">
            <v>Lisbon</v>
          </cell>
          <cell r="E102" t="str">
            <v>Shopping Mall</v>
          </cell>
          <cell r="F102" t="str">
            <v>Alegro Montijo</v>
          </cell>
          <cell r="G102" t="str">
            <v>Quiosque do Rio-Cafetarias,Lda</v>
          </cell>
          <cell r="H102">
            <v>242345</v>
          </cell>
          <cell r="I102">
            <v>253535</v>
          </cell>
        </row>
        <row r="103">
          <cell r="B103" t="str">
            <v>Loja Q.S. - Montijo</v>
          </cell>
          <cell r="C103" t="str">
            <v>Kiosks</v>
          </cell>
          <cell r="D103" t="str">
            <v>Lisbon</v>
          </cell>
          <cell r="E103" t="str">
            <v>Shopping Mall</v>
          </cell>
          <cell r="F103" t="str">
            <v>Closed</v>
          </cell>
          <cell r="G103" t="str">
            <v>Quiosque dos Sabores-Cafetarias,Lda</v>
          </cell>
        </row>
        <row r="104">
          <cell r="B104" t="str">
            <v>Loja Q.S. - Seixal</v>
          </cell>
          <cell r="C104" t="str">
            <v>Kiosks</v>
          </cell>
          <cell r="D104" t="str">
            <v>Lisbon</v>
          </cell>
          <cell r="E104" t="str">
            <v>Shopping Mall</v>
          </cell>
          <cell r="F104" t="str">
            <v>Rio Sul Shopping</v>
          </cell>
          <cell r="G104" t="str">
            <v>Quiosque do Rio-Cafetarias,Lda</v>
          </cell>
          <cell r="H104">
            <v>72237</v>
          </cell>
          <cell r="I104">
            <v>177662</v>
          </cell>
        </row>
        <row r="105">
          <cell r="B105" t="str">
            <v>Loja Q.S. - Alegro Setubal</v>
          </cell>
          <cell r="C105" t="str">
            <v>Kiosks</v>
          </cell>
          <cell r="D105" t="str">
            <v>Lisbon</v>
          </cell>
          <cell r="E105" t="str">
            <v>Shopping Mall</v>
          </cell>
          <cell r="F105" t="str">
            <v>Alegro Setubal</v>
          </cell>
          <cell r="G105" t="str">
            <v>Bifanas Concept, Lda</v>
          </cell>
          <cell r="H105">
            <v>99214</v>
          </cell>
          <cell r="I105">
            <v>16923</v>
          </cell>
        </row>
        <row r="106">
          <cell r="B106" t="str">
            <v>Loja Q.S. - Vasco da Gama</v>
          </cell>
          <cell r="C106" t="str">
            <v>Kiosks</v>
          </cell>
          <cell r="D106" t="str">
            <v>Lisbon</v>
          </cell>
          <cell r="E106" t="str">
            <v>Shopping Mall</v>
          </cell>
          <cell r="F106" t="str">
            <v>Vasco da Gama</v>
          </cell>
          <cell r="G106" t="str">
            <v>Quiosque dos Sabores-Cafetarias,Lda</v>
          </cell>
          <cell r="H106">
            <v>197172</v>
          </cell>
          <cell r="I106">
            <v>177234</v>
          </cell>
        </row>
        <row r="107">
          <cell r="B107" t="str">
            <v>Loja Sabores do Saldanha -Casca</v>
          </cell>
          <cell r="C107" t="str">
            <v>Green Affair</v>
          </cell>
          <cell r="D107" t="str">
            <v>Lisbon</v>
          </cell>
          <cell r="E107" t="str">
            <v>Shopping Mall</v>
          </cell>
          <cell r="F107" t="str">
            <v>Cascais</v>
          </cell>
          <cell r="G107" t="str">
            <v>SABORES DO SALDANHA, LDA.</v>
          </cell>
        </row>
        <row r="108">
          <cell r="B108" t="str">
            <v>Loja Sabores do Saldanha -Chiad</v>
          </cell>
          <cell r="C108" t="str">
            <v>Green Affair</v>
          </cell>
          <cell r="D108" t="str">
            <v>Lisbon</v>
          </cell>
          <cell r="E108" t="str">
            <v>High Street</v>
          </cell>
          <cell r="F108" t="str">
            <v>Chiado</v>
          </cell>
          <cell r="G108" t="str">
            <v>SABORES DO SALDANHA, LDA.</v>
          </cell>
          <cell r="H108" t="str">
            <v>?</v>
          </cell>
          <cell r="I108" t="str">
            <v>?</v>
          </cell>
        </row>
        <row r="109">
          <cell r="B109" t="str">
            <v>Loja Sabores do Saldanha -D. Áv</v>
          </cell>
          <cell r="C109" t="str">
            <v>Green Affair</v>
          </cell>
          <cell r="D109" t="str">
            <v>Lisbon</v>
          </cell>
          <cell r="E109" t="str">
            <v>High Street</v>
          </cell>
          <cell r="F109" t="str">
            <v>Duque D'Ávila</v>
          </cell>
          <cell r="G109" t="str">
            <v>SABORES DO SALDANHA, LDA.</v>
          </cell>
          <cell r="H109">
            <v>35987</v>
          </cell>
          <cell r="I109">
            <v>28650</v>
          </cell>
        </row>
        <row r="110">
          <cell r="B110" t="str">
            <v>Loja Sabores do Saldanha -Giule</v>
          </cell>
          <cell r="C110" t="str">
            <v>Others</v>
          </cell>
          <cell r="D110" t="str">
            <v>Lisbon</v>
          </cell>
          <cell r="E110" t="str">
            <v>High Street</v>
          </cell>
          <cell r="F110" t="str">
            <v>Closed</v>
          </cell>
          <cell r="G110" t="str">
            <v>n.a.</v>
          </cell>
        </row>
        <row r="111">
          <cell r="B111" t="str">
            <v>Loja Sabores do Saldanha -P.N.</v>
          </cell>
          <cell r="C111" t="str">
            <v>Green Affair</v>
          </cell>
          <cell r="D111" t="str">
            <v>Lisbon</v>
          </cell>
          <cell r="E111" t="str">
            <v>High Street</v>
          </cell>
          <cell r="F111" t="str">
            <v>Parque das Nações</v>
          </cell>
          <cell r="G111" t="str">
            <v>DELICIOUS VEGAN, UNIPESSOAL LDA</v>
          </cell>
          <cell r="H111">
            <v>20800</v>
          </cell>
          <cell r="I111">
            <v>18855</v>
          </cell>
        </row>
        <row r="112">
          <cell r="B112" t="str">
            <v>Loja Sabores do Saldanha - UDON</v>
          </cell>
          <cell r="C112" t="str">
            <v>Others</v>
          </cell>
          <cell r="D112" t="str">
            <v>Lisbon</v>
          </cell>
          <cell r="E112" t="str">
            <v>High Street</v>
          </cell>
          <cell r="F112" t="str">
            <v>Duque D'Ávila</v>
          </cell>
          <cell r="G112" t="str">
            <v>SABORES DO SALDANHA, LDA.</v>
          </cell>
          <cell r="H112">
            <v>34899</v>
          </cell>
          <cell r="I112">
            <v>30815</v>
          </cell>
        </row>
        <row r="113">
          <cell r="B113" t="str">
            <v>Loja Serra da Estrela Amoreiras</v>
          </cell>
          <cell r="C113" t="str">
            <v>Serra da Estrela</v>
          </cell>
          <cell r="D113" t="str">
            <v>Lisbon</v>
          </cell>
          <cell r="E113" t="str">
            <v>Shopping Mall</v>
          </cell>
          <cell r="F113" t="str">
            <v>Amoreiras Shopping</v>
          </cell>
          <cell r="G113" t="str">
            <v>SETE ESTRELAS - ACTIVIDADES HOTELEIRAS, LDA</v>
          </cell>
          <cell r="H113">
            <v>46213</v>
          </cell>
          <cell r="I113">
            <v>43693</v>
          </cell>
        </row>
        <row r="114">
          <cell r="B114" t="str">
            <v>Loja Serra da Estrela Av. Igrej</v>
          </cell>
          <cell r="C114" t="str">
            <v>Serra da Estrela</v>
          </cell>
          <cell r="D114" t="str">
            <v>Lisbon</v>
          </cell>
          <cell r="E114" t="str">
            <v>High Street</v>
          </cell>
          <cell r="F114" t="str">
            <v>Av. Igreja</v>
          </cell>
          <cell r="G114" t="str">
            <v>FOOD THEORY, LDA - (ex-Café Baia, Lda.)</v>
          </cell>
          <cell r="H114">
            <v>6601</v>
          </cell>
          <cell r="I114">
            <v>18167</v>
          </cell>
        </row>
        <row r="115">
          <cell r="B115" t="str">
            <v>Loja Serra da Estrela Colombo</v>
          </cell>
          <cell r="C115" t="str">
            <v>Serra da Estrela</v>
          </cell>
          <cell r="D115" t="str">
            <v>Lisbon</v>
          </cell>
          <cell r="E115" t="str">
            <v>Shopping Mall</v>
          </cell>
          <cell r="F115" t="str">
            <v>Colombo</v>
          </cell>
          <cell r="G115" t="str">
            <v>O Nevão da Serra-Restauração,Lda</v>
          </cell>
          <cell r="H115">
            <v>74542</v>
          </cell>
          <cell r="I115">
            <v>76324</v>
          </cell>
        </row>
        <row r="116">
          <cell r="B116" t="str">
            <v>Loja S.E. Mar Shopp</v>
          </cell>
          <cell r="C116" t="str">
            <v>Serra da Estrela</v>
          </cell>
          <cell r="D116" t="str">
            <v>Porto</v>
          </cell>
          <cell r="E116" t="str">
            <v>Shopping Mall</v>
          </cell>
          <cell r="F116" t="str">
            <v>Mar Shopping</v>
          </cell>
          <cell r="G116" t="str">
            <v xml:space="preserve">SETE REIS - ATIVIDADES HOTELEIRAS, LDA </v>
          </cell>
          <cell r="H116">
            <v>49794</v>
          </cell>
          <cell r="I116">
            <v>57108</v>
          </cell>
        </row>
        <row r="117">
          <cell r="B117" t="str">
            <v>Loja Serra da Estrela VG</v>
          </cell>
          <cell r="C117" t="str">
            <v>Serra da Estrela</v>
          </cell>
          <cell r="D117" t="str">
            <v>Lisbon</v>
          </cell>
          <cell r="E117" t="str">
            <v>Shopping Mall</v>
          </cell>
          <cell r="F117" t="str">
            <v>Vasco da Gama</v>
          </cell>
          <cell r="G117" t="str">
            <v>SETE ESTRELAS - ACTIVIDADES HOTELEIRAS, LDA</v>
          </cell>
          <cell r="H117">
            <v>55438</v>
          </cell>
          <cell r="I117">
            <v>48520</v>
          </cell>
        </row>
        <row r="118">
          <cell r="B118" t="str">
            <v>Loja Sical Cascais Loja</v>
          </cell>
          <cell r="C118" t="str">
            <v>Kiosks</v>
          </cell>
          <cell r="D118" t="str">
            <v>Lisbon</v>
          </cell>
          <cell r="E118" t="str">
            <v>Shopping Mall</v>
          </cell>
          <cell r="F118" t="str">
            <v>Cascais Shopping</v>
          </cell>
          <cell r="G118" t="str">
            <v>CANTINHO DA ESTRELA, LDA.</v>
          </cell>
          <cell r="H118">
            <v>170926</v>
          </cell>
          <cell r="I118">
            <v>221312</v>
          </cell>
        </row>
        <row r="119">
          <cell r="B119" t="str">
            <v>Loja Sical Cascais Quiosque</v>
          </cell>
          <cell r="C119" t="str">
            <v>Kiosks</v>
          </cell>
          <cell r="D119" t="str">
            <v>Lisbon</v>
          </cell>
          <cell r="E119" t="str">
            <v>Shopping Mall</v>
          </cell>
          <cell r="F119" t="str">
            <v>Cascais Shopping</v>
          </cell>
          <cell r="G119" t="str">
            <v>CANTINHO DA ESTRELA, LDA.</v>
          </cell>
          <cell r="H119">
            <v>128839</v>
          </cell>
          <cell r="I119">
            <v>172918</v>
          </cell>
        </row>
        <row r="120">
          <cell r="B120" t="str">
            <v>Loja Terra Nova</v>
          </cell>
          <cell r="C120" t="str">
            <v>Others</v>
          </cell>
          <cell r="D120" t="str">
            <v>Lisbon</v>
          </cell>
          <cell r="E120" t="str">
            <v>High Street</v>
          </cell>
          <cell r="F120" t="str">
            <v>Terreiro do Paço</v>
          </cell>
          <cell r="G120" t="str">
            <v xml:space="preserve">Steel Flower, Lda </v>
          </cell>
          <cell r="I120">
            <v>34713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8">
          <cell r="D8">
            <v>101555.01</v>
          </cell>
          <cell r="F8">
            <v>94946.19</v>
          </cell>
          <cell r="H8">
            <v>124456.83</v>
          </cell>
          <cell r="J8">
            <v>124410.74</v>
          </cell>
          <cell r="L8">
            <v>139170.25</v>
          </cell>
          <cell r="N8">
            <v>126341.9</v>
          </cell>
          <cell r="P8">
            <v>130589.02</v>
          </cell>
          <cell r="R8">
            <v>149823.92000000001</v>
          </cell>
          <cell r="T8">
            <v>138677.18</v>
          </cell>
          <cell r="V8">
            <v>129529.79</v>
          </cell>
          <cell r="X8">
            <v>134621.70000000001</v>
          </cell>
          <cell r="Z8">
            <v>153718.39999999999</v>
          </cell>
          <cell r="AB8">
            <v>1547840.93</v>
          </cell>
        </row>
        <row r="10">
          <cell r="D10">
            <v>38329.29</v>
          </cell>
          <cell r="F10">
            <v>35020.400000000001</v>
          </cell>
          <cell r="H10">
            <v>45095.27</v>
          </cell>
          <cell r="J10">
            <v>53213.72</v>
          </cell>
          <cell r="L10">
            <v>55366.87</v>
          </cell>
          <cell r="N10">
            <v>48326.57</v>
          </cell>
          <cell r="P10">
            <v>52862.09</v>
          </cell>
          <cell r="R10">
            <v>60765.57</v>
          </cell>
          <cell r="T10">
            <v>53828.86</v>
          </cell>
          <cell r="V10">
            <v>54768.21</v>
          </cell>
          <cell r="X10">
            <v>51671.68</v>
          </cell>
          <cell r="Z10">
            <v>55120.07</v>
          </cell>
        </row>
        <row r="11">
          <cell r="D11">
            <v>1462.22</v>
          </cell>
          <cell r="F11">
            <v>984.45</v>
          </cell>
          <cell r="H11">
            <v>1439.69</v>
          </cell>
          <cell r="J11">
            <v>1103.5899999999999</v>
          </cell>
          <cell r="L11">
            <v>1015.46</v>
          </cell>
          <cell r="N11">
            <v>1605.2</v>
          </cell>
          <cell r="P11">
            <v>872.97</v>
          </cell>
          <cell r="R11">
            <v>1376.6200000000001</v>
          </cell>
          <cell r="T11">
            <v>1034.8</v>
          </cell>
          <cell r="V11">
            <v>442.8</v>
          </cell>
          <cell r="X11">
            <v>3245.65</v>
          </cell>
          <cell r="Z11">
            <v>1808.84</v>
          </cell>
        </row>
        <row r="12">
          <cell r="D12">
            <v>25668.32</v>
          </cell>
          <cell r="F12">
            <v>25993.46</v>
          </cell>
          <cell r="H12">
            <v>26660.99</v>
          </cell>
          <cell r="J12">
            <v>26460.69</v>
          </cell>
          <cell r="L12">
            <v>18603.18</v>
          </cell>
          <cell r="N12">
            <v>16998.940000000002</v>
          </cell>
          <cell r="P12">
            <v>16951.18</v>
          </cell>
          <cell r="R12">
            <v>16854.23</v>
          </cell>
          <cell r="T12">
            <v>15948.63</v>
          </cell>
          <cell r="V12">
            <v>18399.740000000002</v>
          </cell>
          <cell r="X12">
            <v>20951.55</v>
          </cell>
          <cell r="Z12">
            <v>19749.09</v>
          </cell>
        </row>
        <row r="13">
          <cell r="D13">
            <v>0</v>
          </cell>
          <cell r="F13">
            <v>0</v>
          </cell>
          <cell r="H13">
            <v>0</v>
          </cell>
          <cell r="J13">
            <v>0</v>
          </cell>
          <cell r="L13">
            <v>0</v>
          </cell>
          <cell r="N13">
            <v>0</v>
          </cell>
          <cell r="P13">
            <v>0</v>
          </cell>
          <cell r="R13">
            <v>0</v>
          </cell>
          <cell r="T13">
            <v>0</v>
          </cell>
          <cell r="V13">
            <v>0</v>
          </cell>
          <cell r="X13">
            <v>0</v>
          </cell>
          <cell r="Z13">
            <v>0</v>
          </cell>
        </row>
        <row r="14">
          <cell r="D14">
            <v>0</v>
          </cell>
          <cell r="F14">
            <v>0</v>
          </cell>
          <cell r="H14">
            <v>0</v>
          </cell>
          <cell r="J14">
            <v>0</v>
          </cell>
          <cell r="L14">
            <v>0</v>
          </cell>
          <cell r="N14">
            <v>0</v>
          </cell>
          <cell r="P14">
            <v>0</v>
          </cell>
          <cell r="R14">
            <v>25399.91</v>
          </cell>
          <cell r="T14">
            <v>24992.1</v>
          </cell>
          <cell r="V14">
            <v>26088.799999999999</v>
          </cell>
          <cell r="X14">
            <v>26352.66</v>
          </cell>
          <cell r="Z14">
            <v>26406.37</v>
          </cell>
        </row>
        <row r="15">
          <cell r="D15">
            <v>9353.77</v>
          </cell>
          <cell r="F15">
            <v>9599.14</v>
          </cell>
          <cell r="H15">
            <v>9728.9699999999993</v>
          </cell>
          <cell r="J15">
            <v>9841.02</v>
          </cell>
          <cell r="L15">
            <v>9906.39</v>
          </cell>
          <cell r="N15">
            <v>6562.06</v>
          </cell>
          <cell r="P15">
            <v>6416.53</v>
          </cell>
          <cell r="R15">
            <v>6013.97</v>
          </cell>
          <cell r="T15">
            <v>6084.85</v>
          </cell>
          <cell r="V15">
            <v>5855.96</v>
          </cell>
          <cell r="X15">
            <v>6272.96</v>
          </cell>
          <cell r="Z15">
            <v>7208</v>
          </cell>
        </row>
        <row r="16">
          <cell r="D16">
            <v>4623.75</v>
          </cell>
          <cell r="F16">
            <v>4564.7000000000007</v>
          </cell>
          <cell r="H16">
            <v>3828.3</v>
          </cell>
          <cell r="J16">
            <v>3486.3500000000004</v>
          </cell>
          <cell r="L16">
            <v>3709.77</v>
          </cell>
          <cell r="N16">
            <v>3957.49</v>
          </cell>
          <cell r="P16">
            <v>3202.87</v>
          </cell>
          <cell r="R16">
            <v>1862.12</v>
          </cell>
          <cell r="T16">
            <v>5713.59</v>
          </cell>
          <cell r="V16">
            <v>6307.8600000000006</v>
          </cell>
          <cell r="X16">
            <v>3369.0600000000004</v>
          </cell>
          <cell r="Z16">
            <v>3338.75</v>
          </cell>
        </row>
        <row r="17">
          <cell r="D17">
            <v>11</v>
          </cell>
          <cell r="F17">
            <v>11</v>
          </cell>
          <cell r="H17">
            <v>11</v>
          </cell>
          <cell r="J17">
            <v>11</v>
          </cell>
          <cell r="L17">
            <v>11</v>
          </cell>
          <cell r="N17">
            <v>0</v>
          </cell>
          <cell r="P17">
            <v>11</v>
          </cell>
          <cell r="R17">
            <v>11</v>
          </cell>
          <cell r="T17">
            <v>217.64</v>
          </cell>
          <cell r="V17">
            <v>11</v>
          </cell>
          <cell r="X17">
            <v>11</v>
          </cell>
          <cell r="Z17">
            <v>0</v>
          </cell>
        </row>
        <row r="18">
          <cell r="D18">
            <v>9334.7000000000007</v>
          </cell>
          <cell r="F18">
            <v>9237.69</v>
          </cell>
          <cell r="H18">
            <v>9399.48</v>
          </cell>
          <cell r="J18">
            <v>10327.799999999999</v>
          </cell>
          <cell r="L18">
            <v>9712.380000000001</v>
          </cell>
          <cell r="N18">
            <v>9841.17</v>
          </cell>
          <cell r="P18">
            <v>9554.2000000000007</v>
          </cell>
          <cell r="R18">
            <v>9554.2000000000007</v>
          </cell>
          <cell r="T18">
            <v>10431.09</v>
          </cell>
          <cell r="V18">
            <v>9819.85</v>
          </cell>
          <cell r="X18">
            <v>9554.2000000000007</v>
          </cell>
          <cell r="Z18">
            <v>33.409999999999997</v>
          </cell>
        </row>
        <row r="20">
          <cell r="D20">
            <v>1441.37</v>
          </cell>
          <cell r="F20">
            <v>0</v>
          </cell>
          <cell r="H20">
            <v>2331.8000000000002</v>
          </cell>
          <cell r="J20">
            <v>0</v>
          </cell>
          <cell r="L20">
            <v>0</v>
          </cell>
          <cell r="N20">
            <v>0</v>
          </cell>
          <cell r="P20">
            <v>0</v>
          </cell>
          <cell r="R20">
            <v>0</v>
          </cell>
          <cell r="T20">
            <v>0</v>
          </cell>
          <cell r="V20">
            <v>0</v>
          </cell>
          <cell r="X20">
            <v>0</v>
          </cell>
          <cell r="Z20">
            <v>0</v>
          </cell>
        </row>
        <row r="21">
          <cell r="D21">
            <v>0</v>
          </cell>
          <cell r="F21">
            <v>0</v>
          </cell>
          <cell r="H21">
            <v>25</v>
          </cell>
          <cell r="J21">
            <v>0</v>
          </cell>
          <cell r="L21">
            <v>0</v>
          </cell>
          <cell r="N21">
            <v>441.37</v>
          </cell>
          <cell r="P21">
            <v>7815.33</v>
          </cell>
          <cell r="R21">
            <v>208.33</v>
          </cell>
          <cell r="T21">
            <v>7815.33</v>
          </cell>
          <cell r="V21">
            <v>208.33</v>
          </cell>
          <cell r="X21">
            <v>208.33</v>
          </cell>
          <cell r="Z21">
            <v>7815.33</v>
          </cell>
        </row>
        <row r="22">
          <cell r="D22">
            <v>1407.3420550000005</v>
          </cell>
          <cell r="F22">
            <v>1176.5833849999999</v>
          </cell>
          <cell r="H22">
            <v>1462.1187299999992</v>
          </cell>
          <cell r="J22">
            <v>1549.254015</v>
          </cell>
          <cell r="L22">
            <v>1943.0566650000012</v>
          </cell>
          <cell r="N22">
            <v>1712.4919900000002</v>
          </cell>
          <cell r="P22">
            <v>1801.0265450000006</v>
          </cell>
          <cell r="R22">
            <v>1355.5165999999992</v>
          </cell>
          <cell r="T22">
            <v>2009.8949000000002</v>
          </cell>
          <cell r="V22">
            <v>1624.2052200000032</v>
          </cell>
          <cell r="X22">
            <v>0</v>
          </cell>
          <cell r="Z22">
            <v>0</v>
          </cell>
        </row>
        <row r="23">
          <cell r="D23">
            <v>121.44999999999997</v>
          </cell>
          <cell r="F23">
            <v>102.19999999999999</v>
          </cell>
          <cell r="H23">
            <v>-80.880000000000024</v>
          </cell>
          <cell r="J23">
            <v>115.96999999999998</v>
          </cell>
          <cell r="L23">
            <v>205.3</v>
          </cell>
          <cell r="N23">
            <v>-48.510000000000019</v>
          </cell>
          <cell r="P23">
            <v>111.75999999999999</v>
          </cell>
          <cell r="R23">
            <v>121.5</v>
          </cell>
          <cell r="T23">
            <v>0</v>
          </cell>
          <cell r="V23">
            <v>0</v>
          </cell>
          <cell r="X23">
            <v>0</v>
          </cell>
          <cell r="Z23">
            <v>0</v>
          </cell>
        </row>
        <row r="24">
          <cell r="D24">
            <v>445.33</v>
          </cell>
          <cell r="F24">
            <v>491.76</v>
          </cell>
          <cell r="H24">
            <v>445.33</v>
          </cell>
          <cell r="J24">
            <v>445.33</v>
          </cell>
          <cell r="L24">
            <v>445.33</v>
          </cell>
          <cell r="N24">
            <v>445.33</v>
          </cell>
          <cell r="P24">
            <v>445.33</v>
          </cell>
          <cell r="R24">
            <v>445.33</v>
          </cell>
          <cell r="T24">
            <v>445.33</v>
          </cell>
          <cell r="V24">
            <v>445.33</v>
          </cell>
          <cell r="X24">
            <v>445.33</v>
          </cell>
          <cell r="Z24">
            <v>445.33</v>
          </cell>
        </row>
        <row r="29">
          <cell r="D29">
            <v>561</v>
          </cell>
          <cell r="F29">
            <v>161</v>
          </cell>
          <cell r="H29">
            <v>194</v>
          </cell>
          <cell r="J29">
            <v>225</v>
          </cell>
          <cell r="L29">
            <v>181</v>
          </cell>
          <cell r="N29">
            <v>154</v>
          </cell>
          <cell r="P29">
            <v>154</v>
          </cell>
          <cell r="R29">
            <v>154</v>
          </cell>
          <cell r="T29">
            <v>2</v>
          </cell>
          <cell r="V29">
            <v>3</v>
          </cell>
          <cell r="X29">
            <v>161</v>
          </cell>
          <cell r="Z29">
            <v>800</v>
          </cell>
        </row>
        <row r="31">
          <cell r="D31">
            <v>7679.99</v>
          </cell>
          <cell r="F31">
            <v>8189.03</v>
          </cell>
          <cell r="H31">
            <v>6695.63</v>
          </cell>
          <cell r="J31">
            <v>5908.85</v>
          </cell>
          <cell r="L31">
            <v>6512.41</v>
          </cell>
          <cell r="N31">
            <v>7912.88</v>
          </cell>
          <cell r="P31">
            <v>8442.7800000000007</v>
          </cell>
          <cell r="R31">
            <v>6903.63</v>
          </cell>
          <cell r="T31">
            <v>8700.77</v>
          </cell>
          <cell r="V31">
            <v>5494.69</v>
          </cell>
          <cell r="X31">
            <v>4510.1000000000004</v>
          </cell>
          <cell r="Z31">
            <v>1917.84</v>
          </cell>
        </row>
        <row r="32">
          <cell r="D32">
            <v>0</v>
          </cell>
          <cell r="F32">
            <v>0</v>
          </cell>
          <cell r="H32">
            <v>0</v>
          </cell>
          <cell r="J32">
            <v>164.02</v>
          </cell>
          <cell r="L32">
            <v>0</v>
          </cell>
          <cell r="N32">
            <v>157.5</v>
          </cell>
          <cell r="P32">
            <v>0</v>
          </cell>
          <cell r="R32">
            <v>0</v>
          </cell>
          <cell r="T32">
            <v>442.5</v>
          </cell>
          <cell r="V32">
            <v>300</v>
          </cell>
          <cell r="X32">
            <v>457.5</v>
          </cell>
          <cell r="Z32">
            <v>457.5</v>
          </cell>
        </row>
        <row r="39">
          <cell r="D39">
            <v>-1.26</v>
          </cell>
          <cell r="F39">
            <v>-1.47</v>
          </cell>
          <cell r="H39">
            <v>-11870.140000000001</v>
          </cell>
          <cell r="J39">
            <v>3.23</v>
          </cell>
          <cell r="L39">
            <v>-1.97</v>
          </cell>
          <cell r="N39">
            <v>-630</v>
          </cell>
          <cell r="P39">
            <v>0</v>
          </cell>
          <cell r="R39">
            <v>-1.97</v>
          </cell>
          <cell r="T39">
            <v>0.7</v>
          </cell>
          <cell r="V39">
            <v>2.39</v>
          </cell>
          <cell r="X39">
            <v>-1765.92</v>
          </cell>
          <cell r="Z39">
            <v>0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8">
          <cell r="D8">
            <v>95740.23</v>
          </cell>
          <cell r="F8">
            <v>83665.61</v>
          </cell>
          <cell r="H8">
            <v>97182.71</v>
          </cell>
          <cell r="J8">
            <v>92215.679999999993</v>
          </cell>
          <cell r="L8">
            <v>106686.58</v>
          </cell>
          <cell r="N8">
            <v>99496.4</v>
          </cell>
          <cell r="P8">
            <v>101382.38</v>
          </cell>
          <cell r="R8">
            <v>126186.87</v>
          </cell>
          <cell r="T8">
            <v>92400.53</v>
          </cell>
          <cell r="V8">
            <v>113867.18789</v>
          </cell>
          <cell r="X8">
            <v>114440.01</v>
          </cell>
          <cell r="Z8">
            <v>138160.69</v>
          </cell>
          <cell r="AB8">
            <v>1261424.8778899999</v>
          </cell>
        </row>
        <row r="10">
          <cell r="D10">
            <v>35157.230000000003</v>
          </cell>
          <cell r="F10">
            <v>32643.88</v>
          </cell>
          <cell r="H10">
            <v>34768.01</v>
          </cell>
          <cell r="J10">
            <v>33990.76</v>
          </cell>
          <cell r="L10">
            <v>41281.83</v>
          </cell>
          <cell r="N10">
            <v>37261.71</v>
          </cell>
          <cell r="P10">
            <v>39568.9</v>
          </cell>
          <cell r="R10">
            <v>44791.520000000004</v>
          </cell>
          <cell r="T10">
            <v>33095.31</v>
          </cell>
          <cell r="V10">
            <v>46830.47</v>
          </cell>
          <cell r="X10">
            <v>41311.620000000003</v>
          </cell>
          <cell r="Z10">
            <v>48396.61</v>
          </cell>
        </row>
        <row r="11">
          <cell r="D11">
            <v>442.8</v>
          </cell>
          <cell r="F11">
            <v>751.54</v>
          </cell>
          <cell r="H11">
            <v>747.96</v>
          </cell>
          <cell r="J11">
            <v>1305.1899999999998</v>
          </cell>
          <cell r="L11">
            <v>638.49</v>
          </cell>
          <cell r="N11">
            <v>2510.69</v>
          </cell>
          <cell r="P11">
            <v>1919.76</v>
          </cell>
          <cell r="R11">
            <v>500.52000000000004</v>
          </cell>
          <cell r="T11">
            <v>1729.3799999999999</v>
          </cell>
          <cell r="V11">
            <v>739.78</v>
          </cell>
          <cell r="X11">
            <v>1262.1299999999999</v>
          </cell>
          <cell r="Z11">
            <v>3419.0600000000004</v>
          </cell>
        </row>
        <row r="12">
          <cell r="D12">
            <v>18595.84</v>
          </cell>
          <cell r="F12">
            <v>21301.57</v>
          </cell>
          <cell r="H12">
            <v>21245.25</v>
          </cell>
          <cell r="J12">
            <v>21420.859999999997</v>
          </cell>
          <cell r="L12">
            <v>21449.52</v>
          </cell>
          <cell r="N12">
            <v>21793.62</v>
          </cell>
          <cell r="P12">
            <v>20964.14</v>
          </cell>
          <cell r="R12">
            <v>20703.810000000001</v>
          </cell>
          <cell r="T12">
            <v>19837.13</v>
          </cell>
          <cell r="V12">
            <v>24471.200000000001</v>
          </cell>
          <cell r="X12">
            <v>25677.42</v>
          </cell>
          <cell r="Z12">
            <v>26100.62</v>
          </cell>
        </row>
        <row r="13">
          <cell r="D13">
            <v>0</v>
          </cell>
          <cell r="F13">
            <v>0</v>
          </cell>
          <cell r="H13">
            <v>0</v>
          </cell>
          <cell r="J13">
            <v>0</v>
          </cell>
          <cell r="L13">
            <v>0</v>
          </cell>
          <cell r="N13">
            <v>0</v>
          </cell>
          <cell r="P13">
            <v>0</v>
          </cell>
          <cell r="R13">
            <v>0</v>
          </cell>
          <cell r="T13">
            <v>0</v>
          </cell>
          <cell r="V13">
            <v>0</v>
          </cell>
          <cell r="X13">
            <v>0</v>
          </cell>
          <cell r="Z13">
            <v>0</v>
          </cell>
        </row>
        <row r="14">
          <cell r="D14">
            <v>0</v>
          </cell>
          <cell r="F14">
            <v>0</v>
          </cell>
          <cell r="H14">
            <v>0</v>
          </cell>
          <cell r="J14">
            <v>0</v>
          </cell>
          <cell r="L14">
            <v>0</v>
          </cell>
          <cell r="N14">
            <v>0</v>
          </cell>
          <cell r="P14">
            <v>0</v>
          </cell>
          <cell r="R14">
            <v>0</v>
          </cell>
          <cell r="T14">
            <v>0</v>
          </cell>
          <cell r="V14">
            <v>0</v>
          </cell>
          <cell r="X14">
            <v>0</v>
          </cell>
          <cell r="Z14">
            <v>0</v>
          </cell>
        </row>
        <row r="15">
          <cell r="D15">
            <v>5991.25</v>
          </cell>
          <cell r="F15">
            <v>7167.04</v>
          </cell>
          <cell r="H15">
            <v>8131.15</v>
          </cell>
          <cell r="J15">
            <v>8007.74</v>
          </cell>
          <cell r="L15">
            <v>8282.9699999999993</v>
          </cell>
          <cell r="N15">
            <v>8123.51</v>
          </cell>
          <cell r="P15">
            <v>8121.23</v>
          </cell>
          <cell r="R15">
            <v>7948.69</v>
          </cell>
          <cell r="T15">
            <v>7501.09</v>
          </cell>
          <cell r="V15">
            <v>7330.8</v>
          </cell>
          <cell r="X15">
            <v>9027.77</v>
          </cell>
          <cell r="Z15">
            <v>9441.7900000000009</v>
          </cell>
        </row>
        <row r="16">
          <cell r="D16">
            <v>3902.2300000000005</v>
          </cell>
          <cell r="F16">
            <v>3951.6400000000003</v>
          </cell>
          <cell r="H16">
            <v>2831.6800000000003</v>
          </cell>
          <cell r="J16">
            <v>3155.6800000000003</v>
          </cell>
          <cell r="L16">
            <v>3425.1699999999996</v>
          </cell>
          <cell r="N16">
            <v>3777.7999999999997</v>
          </cell>
          <cell r="P16">
            <v>3801.8199999999997</v>
          </cell>
          <cell r="R16">
            <v>3923.17</v>
          </cell>
          <cell r="T16">
            <v>4321.96</v>
          </cell>
          <cell r="V16">
            <v>3626.65</v>
          </cell>
          <cell r="X16">
            <v>4095.5400000000004</v>
          </cell>
          <cell r="Z16">
            <v>4764.74</v>
          </cell>
        </row>
        <row r="17">
          <cell r="D17">
            <v>15</v>
          </cell>
          <cell r="F17">
            <v>15</v>
          </cell>
          <cell r="H17">
            <v>15</v>
          </cell>
          <cell r="J17">
            <v>15</v>
          </cell>
          <cell r="L17">
            <v>15</v>
          </cell>
          <cell r="N17">
            <v>15</v>
          </cell>
          <cell r="P17">
            <v>135</v>
          </cell>
          <cell r="R17">
            <v>15</v>
          </cell>
          <cell r="T17">
            <v>15</v>
          </cell>
          <cell r="V17">
            <v>384</v>
          </cell>
          <cell r="X17">
            <v>15</v>
          </cell>
          <cell r="Z17">
            <v>216.72</v>
          </cell>
        </row>
        <row r="18">
          <cell r="D18">
            <v>9146.75</v>
          </cell>
          <cell r="F18">
            <v>9146.75</v>
          </cell>
          <cell r="H18">
            <v>9282.66</v>
          </cell>
          <cell r="J18">
            <v>9282.66</v>
          </cell>
          <cell r="L18">
            <v>9282.66</v>
          </cell>
          <cell r="N18">
            <v>8922.9</v>
          </cell>
          <cell r="P18">
            <v>9237.69</v>
          </cell>
          <cell r="R18">
            <v>9237.69</v>
          </cell>
          <cell r="T18">
            <v>9237.69</v>
          </cell>
          <cell r="V18">
            <v>9237.69</v>
          </cell>
          <cell r="X18">
            <v>9237.69</v>
          </cell>
          <cell r="Z18">
            <v>9237.69</v>
          </cell>
        </row>
        <row r="20">
          <cell r="D20">
            <v>194.61</v>
          </cell>
          <cell r="F20">
            <v>0</v>
          </cell>
          <cell r="H20">
            <v>0</v>
          </cell>
          <cell r="J20">
            <v>0</v>
          </cell>
          <cell r="L20">
            <v>3497.65</v>
          </cell>
          <cell r="N20">
            <v>1735.11</v>
          </cell>
          <cell r="P20">
            <v>0</v>
          </cell>
          <cell r="R20">
            <v>0</v>
          </cell>
          <cell r="T20">
            <v>0</v>
          </cell>
          <cell r="V20">
            <v>0</v>
          </cell>
          <cell r="X20">
            <v>0</v>
          </cell>
          <cell r="Z20">
            <v>2284.6</v>
          </cell>
        </row>
        <row r="21">
          <cell r="D21">
            <v>0</v>
          </cell>
          <cell r="F21">
            <v>0</v>
          </cell>
          <cell r="H21">
            <v>25</v>
          </cell>
          <cell r="J21">
            <v>0</v>
          </cell>
          <cell r="L21">
            <v>0</v>
          </cell>
          <cell r="N21">
            <v>80</v>
          </cell>
          <cell r="P21">
            <v>0</v>
          </cell>
          <cell r="R21">
            <v>0</v>
          </cell>
          <cell r="T21">
            <v>0</v>
          </cell>
          <cell r="V21">
            <v>0</v>
          </cell>
          <cell r="X21">
            <v>0</v>
          </cell>
          <cell r="Z21">
            <v>0</v>
          </cell>
        </row>
        <row r="22">
          <cell r="D22">
            <v>1276.9099999999999</v>
          </cell>
          <cell r="F22">
            <v>779.14079999999831</v>
          </cell>
          <cell r="H22">
            <v>867.96464500000013</v>
          </cell>
          <cell r="J22">
            <v>997.91976000000091</v>
          </cell>
          <cell r="L22">
            <v>1459.8843150000007</v>
          </cell>
          <cell r="N22">
            <v>1496.5552750000011</v>
          </cell>
          <cell r="P22">
            <v>1340.3424250000007</v>
          </cell>
          <cell r="R22">
            <v>1593.1182049999984</v>
          </cell>
          <cell r="T22">
            <v>892.8901149999997</v>
          </cell>
          <cell r="V22">
            <v>1416.0232899999996</v>
          </cell>
          <cell r="X22">
            <v>1599.8640640000008</v>
          </cell>
          <cell r="Z22">
            <v>1565.6807049999986</v>
          </cell>
        </row>
        <row r="23">
          <cell r="D23">
            <v>138</v>
          </cell>
          <cell r="F23">
            <v>111.74999999999999</v>
          </cell>
          <cell r="H23">
            <v>115.55999999999999</v>
          </cell>
          <cell r="J23">
            <v>49.999999999999993</v>
          </cell>
          <cell r="L23">
            <v>291.58999999999992</v>
          </cell>
          <cell r="N23">
            <v>104.36</v>
          </cell>
          <cell r="P23">
            <v>106.39999999999999</v>
          </cell>
          <cell r="R23">
            <v>105.9</v>
          </cell>
          <cell r="T23">
            <v>111.66</v>
          </cell>
          <cell r="V23">
            <v>106.46</v>
          </cell>
          <cell r="X23">
            <v>125.2</v>
          </cell>
          <cell r="Z23">
            <v>125.36999999999998</v>
          </cell>
        </row>
        <row r="24">
          <cell r="D24">
            <v>403.03</v>
          </cell>
          <cell r="F24">
            <v>403.03</v>
          </cell>
          <cell r="H24">
            <v>403.03</v>
          </cell>
          <cell r="J24">
            <v>403.03</v>
          </cell>
          <cell r="L24">
            <v>403.03</v>
          </cell>
          <cell r="N24">
            <v>403.03</v>
          </cell>
          <cell r="P24">
            <v>403.03</v>
          </cell>
          <cell r="R24">
            <v>403.03</v>
          </cell>
          <cell r="T24">
            <v>609.91999999999996</v>
          </cell>
          <cell r="V24">
            <v>403.03</v>
          </cell>
          <cell r="X24">
            <v>403.03</v>
          </cell>
          <cell r="Z24">
            <v>403.03</v>
          </cell>
        </row>
        <row r="29">
          <cell r="D29">
            <v>1004</v>
          </cell>
          <cell r="F29">
            <v>486</v>
          </cell>
          <cell r="H29">
            <v>486</v>
          </cell>
          <cell r="J29">
            <v>496</v>
          </cell>
          <cell r="L29">
            <v>486</v>
          </cell>
          <cell r="N29">
            <v>491</v>
          </cell>
          <cell r="P29">
            <v>141</v>
          </cell>
          <cell r="R29">
            <v>141</v>
          </cell>
          <cell r="T29">
            <v>159</v>
          </cell>
          <cell r="V29">
            <v>2</v>
          </cell>
          <cell r="X29">
            <v>2</v>
          </cell>
          <cell r="Z29">
            <v>728.84</v>
          </cell>
        </row>
        <row r="31">
          <cell r="D31">
            <v>8241.92</v>
          </cell>
          <cell r="F31">
            <v>8433.89</v>
          </cell>
          <cell r="H31">
            <v>6320.15</v>
          </cell>
          <cell r="J31">
            <v>4705.75</v>
          </cell>
          <cell r="L31">
            <v>6500.35</v>
          </cell>
          <cell r="N31">
            <v>5651.33</v>
          </cell>
          <cell r="P31">
            <v>6104.32</v>
          </cell>
          <cell r="R31">
            <v>6115.77</v>
          </cell>
          <cell r="T31">
            <v>6123.41</v>
          </cell>
          <cell r="V31">
            <v>5692.7</v>
          </cell>
          <cell r="X31">
            <v>5410.23</v>
          </cell>
          <cell r="Z31">
            <v>4568.5600000000004</v>
          </cell>
        </row>
        <row r="32">
          <cell r="D32">
            <v>149</v>
          </cell>
          <cell r="F32">
            <v>0</v>
          </cell>
          <cell r="H32">
            <v>148.84</v>
          </cell>
          <cell r="J32">
            <v>0</v>
          </cell>
          <cell r="L32">
            <v>0</v>
          </cell>
          <cell r="N32">
            <v>148.83000000000001</v>
          </cell>
          <cell r="P32">
            <v>0</v>
          </cell>
          <cell r="R32">
            <v>0</v>
          </cell>
          <cell r="T32">
            <v>148.84</v>
          </cell>
          <cell r="V32">
            <v>9956.67</v>
          </cell>
          <cell r="X32">
            <v>0</v>
          </cell>
          <cell r="Z32">
            <v>0</v>
          </cell>
        </row>
        <row r="39">
          <cell r="D39">
            <v>1.1599999999999999</v>
          </cell>
          <cell r="F39">
            <v>0.88</v>
          </cell>
          <cell r="H39">
            <v>-0.28000000000000003</v>
          </cell>
          <cell r="J39">
            <v>-0.17</v>
          </cell>
          <cell r="L39">
            <v>1.9</v>
          </cell>
          <cell r="N39">
            <v>-3.29</v>
          </cell>
          <cell r="P39">
            <v>-5691.92</v>
          </cell>
          <cell r="R39">
            <v>3.1</v>
          </cell>
          <cell r="T39">
            <v>-1.87</v>
          </cell>
          <cell r="V39">
            <v>-2.39</v>
          </cell>
          <cell r="X39">
            <v>-40868.410000000003</v>
          </cell>
          <cell r="Z39">
            <v>-4299.33</v>
          </cell>
        </row>
      </sheetData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61264-04A3-4DF9-8D55-40A0D80C1E80}" name="Table1" displayName="Table1" ref="A1:AK25" totalsRowShown="0" headerRowDxfId="37">
  <autoFilter ref="A1:AK25" xr:uid="{EB141B15-126B-43F6-AB2E-EB990ED2DF0F}"/>
  <tableColumns count="37">
    <tableColumn id="3" xr3:uid="{93A93EBD-5F7F-4A8F-88D1-5B29DB809B24}" name="Store" dataDxfId="36"/>
    <tableColumn id="4" xr3:uid="{BFB21CCA-E0D9-4B41-A8E8-52A9C6FF09ED}" name="Concept" dataDxfId="35">
      <calculatedColumnFormula>+VLOOKUP($A2,[1]Database!$B$2:$I$120,2,FALSE)</calculatedColumnFormula>
    </tableColumn>
    <tableColumn id="5" xr3:uid="{ED8AD229-EB2C-469A-9F2E-519B30E42D3E}" name="Region" dataDxfId="34">
      <calculatedColumnFormula>+VLOOKUP($A2,[1]Database!$B$2:$I$120,3,FALSE)</calculatedColumnFormula>
    </tableColumn>
    <tableColumn id="6" xr3:uid="{5C7B7529-27FB-4E03-9F25-3D9D28E055AB}" name="Type of Store" dataDxfId="33">
      <calculatedColumnFormula>+VLOOKUP($A2,[1]Database!$B$2:$I$120,4,FALSE)</calculatedColumnFormula>
    </tableColumn>
    <tableColumn id="7" xr3:uid="{F72B3472-B02A-4872-AA67-B4DB3DFF0DF0}" name="Location" dataDxfId="32">
      <calculatedColumnFormula>+VLOOKUP($A2,[1]Database!$B$2:$I$120,5,FALSE)</calculatedColumnFormula>
    </tableColumn>
    <tableColumn id="8" xr3:uid="{03BE216A-6DEF-4B0E-AFED-EE0784DD6CA2}" name="Legal Entity" dataDxfId="31">
      <calculatedColumnFormula>+VLOOKUP($A2,[1]Database!$B$2:$I$120,6,FALSE)</calculatedColumnFormula>
    </tableColumn>
    <tableColumn id="1" xr3:uid="{BBAFCF38-8C77-4206-8098-2F3FADA09D72}" name="Year" dataDxfId="30"/>
    <tableColumn id="2" xr3:uid="{670972FC-6D52-4D74-A316-DB334293B7AE}" name="Month" dataDxfId="29"/>
    <tableColumn id="9" xr3:uid="{FE14F232-7B52-4C21-8599-B0094983F54D}" name="Tickets" dataDxfId="28">
      <calculatedColumnFormula>('[1]Loja Alentejo Forum Coimbra (2)'!$AB$8/+VLOOKUP($A2,[1]Database!$B$2:$I$120,7,FALSE))*Table1[[#This Row],[Sales]]</calculatedColumnFormula>
    </tableColumn>
    <tableColumn id="25" xr3:uid="{DF30898F-69F1-4A6E-A22B-409403F06011}" name="Average Ticket" dataDxfId="27">
      <calculatedColumnFormula>IFERROR(+Table1[[#This Row],[Tickets]]/Table1[[#This Row],[Sales]],"")</calculatedColumnFormula>
    </tableColumn>
    <tableColumn id="10" xr3:uid="{236DFD73-ADA9-4918-B088-090B8560FD82}" name="Sales" dataDxfId="26">
      <calculatedColumnFormula>+'[1]Loja Alentejo Forum Coimbra (2)'!$D$8</calculatedColumnFormula>
    </tableColumn>
    <tableColumn id="11" xr3:uid="{4B989D30-C320-4B30-9C96-F4DC1310FFEC}" name="Raw Materials" dataDxfId="25">
      <calculatedColumnFormula>+'[1]Loja Alentejo Forum Coimbra (2)'!$D$10</calculatedColumnFormula>
    </tableColumn>
    <tableColumn id="12" xr3:uid="{40AFB9AE-88C2-41EC-A634-F2082BA681DE}" name="Staff" dataDxfId="24">
      <calculatedColumnFormula>+'[1]Loja Alentejo Forum Coimbra (2)'!$D$12+'[1]Loja Alentejo Forum Coimbra (2)'!$D$13+'[1]Loja Alentejo Forum Coimbra (2)'!$D$14+'[1]Loja Alentejo Forum Coimbra (2)'!$D$15+'[1]Loja Alentejo Forum Coimbra (2)'!$D$29+'[1]Loja Alentejo Forum Coimbra (2)'!$D$30</calculatedColumnFormula>
    </tableColumn>
    <tableColumn id="13" xr3:uid="{6E03BE7F-303F-4C3D-B74D-30580EB1C9BE}" name="Rents" dataDxfId="23">
      <calculatedColumnFormula>+'[1]Loja Alentejo Forum Coimbra (2)'!$D$18</calculatedColumnFormula>
    </tableColumn>
    <tableColumn id="14" xr3:uid="{DFB5717E-EC4C-4F89-9AEC-AAC3ABB22058}" name="Utilities" dataDxfId="22">
      <calculatedColumnFormula>+'[1]Loja Alentejo Forum Coimbra (2)'!$D$16</calculatedColumnFormula>
    </tableColumn>
    <tableColumn id="15" xr3:uid="{3816642B-8DF5-4A4C-8161-7F579881F535}" name="Maintenance" dataDxfId="21">
      <calculatedColumnFormula>+'[1]Loja Alentejo Forum Coimbra (2)'!$D$11</calculatedColumnFormula>
    </tableColumn>
    <tableColumn id="16" xr3:uid="{EA07BD9E-02FF-4B60-B7A4-27F34630738E}" name="Banking costs" dataDxfId="20">
      <calculatedColumnFormula>+'[1]Loja Alentejo Forum Coimbra (2)'!$D$22+'[1]Loja Alentejo Forum Coimbra (2)'!$D$23</calculatedColumnFormula>
    </tableColumn>
    <tableColumn id="17" xr3:uid="{1B60FC72-85AD-4A38-A80E-DFA80402E66F}" name="VAT" dataDxfId="19">
      <calculatedColumnFormula>+'[1]Loja Alentejo Forum Coimbra (2)'!$D$31</calculatedColumnFormula>
    </tableColumn>
    <tableColumn id="18" xr3:uid="{3D74F411-1DE5-4D6B-B767-0014FCB070E4}" name="Others" dataDxfId="18">
      <calculatedColumnFormula>+'[1]Loja Alentejo Forum Coimbra (2)'!$D$17+'[1]Loja Alentejo Forum Coimbra (2)'!$D$20+'[1]Loja Alentejo Forum Coimbra (2)'!$D$21+'[1]Loja Alentejo Forum Coimbra (2)'!$D$40</calculatedColumnFormula>
    </tableColumn>
    <tableColumn id="19" xr3:uid="{F8C5BA10-B9CB-49FF-B6A3-C371921581D2}" name="Store Contribution" dataDxfId="17">
      <calculatedColumnFormula>+K2-SUM(L2:S2)</calculatedColumnFormula>
    </tableColumn>
    <tableColumn id="20" xr3:uid="{24A6ACD4-621E-4BD8-8874-AEC51359DBCF}" name="Admin. Costs" dataDxfId="16">
      <calculatedColumnFormula>+'[1]Loja Alentejo Forum Coimbra (2)'!$D$24</calculatedColumnFormula>
    </tableColumn>
    <tableColumn id="21" xr3:uid="{1E5790F7-6F45-4900-8B23-1E25FAF369AC}" name="EBITDA" dataDxfId="15">
      <calculatedColumnFormula>+T2-U2</calculatedColumnFormula>
    </tableColumn>
    <tableColumn id="22" xr3:uid="{C12AFF69-A273-4EB1-B95E-A378AC60DC45}" name="CAPEX" dataDxfId="14">
      <calculatedColumnFormula>+'[1]Loja Alentejo Forum Coimbra (2)'!$D$39</calculatedColumnFormula>
    </tableColumn>
    <tableColumn id="23" xr3:uid="{D30A487A-CD6E-4DD1-A4AF-D4E8289FBA5A}" name="CIT" dataDxfId="13">
      <calculatedColumnFormula>+'[1]Loja Alentejo Forum Coimbra (2)'!$D$32</calculatedColumnFormula>
    </tableColumn>
    <tableColumn id="24" xr3:uid="{9626E270-6A80-4B58-BA6A-6C9F814F13D2}" name="FCFF" dataDxfId="12">
      <calculatedColumnFormula>+V2-SUM(W2:X2)</calculatedColumnFormula>
    </tableColumn>
    <tableColumn id="35" xr3:uid="{C4C13F62-D7AD-4B3A-B570-806E0123740F}" name="Raw Materials %" dataDxfId="11" dataCellStyle="Percent">
      <calculatedColumnFormula>IFERROR(+Table1[[#This Row],[Raw Materials]]/Table1[[#This Row],[Sales]],"")</calculatedColumnFormula>
    </tableColumn>
    <tableColumn id="34" xr3:uid="{82271B2E-3A7F-43E6-AF38-FD7CEDE558D3}" name="Staff %" dataDxfId="10" dataCellStyle="Percent">
      <calculatedColumnFormula>IFERROR(+Table1[[#This Row],[Staff]]/Table1[[#This Row],[Sales]],"")</calculatedColumnFormula>
    </tableColumn>
    <tableColumn id="33" xr3:uid="{BB707040-4B83-40E4-B3E6-94A4DE76E57A}" name="Rents %" dataDxfId="9" dataCellStyle="Percent">
      <calculatedColumnFormula>IFERROR(+Table1[[#This Row],[Rents]]/Table1[[#This Row],[Sales]],"")</calculatedColumnFormula>
    </tableColumn>
    <tableColumn id="32" xr3:uid="{C65C4D25-33E7-4BF8-A513-F991A51A7C9B}" name="Utilities %" dataDxfId="8" dataCellStyle="Percent">
      <calculatedColumnFormula>IFERROR(+Table1[[#This Row],[Utilities]]/Table1[[#This Row],[Sales]],"")</calculatedColumnFormula>
    </tableColumn>
    <tableColumn id="31" xr3:uid="{9D3CB975-95A3-4B22-807F-8E71BE039E16}" name="Maintenance %" dataDxfId="7" dataCellStyle="Percent">
      <calculatedColumnFormula>IFERROR(+Table1[[#This Row],[Maintenance]]/Table1[[#This Row],[Sales]],"")</calculatedColumnFormula>
    </tableColumn>
    <tableColumn id="30" xr3:uid="{546A78B9-39EF-479C-98F2-09928BAC0ED6}" name="Banking Costs %" dataDxfId="6" dataCellStyle="Percent">
      <calculatedColumnFormula>IFERROR(Table1[[#This Row],[Banking costs]]/Table1[[#This Row],[Sales]],"")</calculatedColumnFormula>
    </tableColumn>
    <tableColumn id="29" xr3:uid="{99D5F2C9-08F4-49DA-8356-5DEA20503D4B}" name="VAT %" dataDxfId="5" dataCellStyle="Percent">
      <calculatedColumnFormula>IFERROR(Table1[[#This Row],[VAT]]/Table1[[#This Row],[Sales]],"")</calculatedColumnFormula>
    </tableColumn>
    <tableColumn id="28" xr3:uid="{F801C72F-6D2F-42C0-99A9-C76BD7442CFD}" name="Others %" dataDxfId="4" dataCellStyle="Percent">
      <calculatedColumnFormula>IFERROR(Table1[[#This Row],[Others]]/Table1[[#This Row],[Sales]],"")</calculatedColumnFormula>
    </tableColumn>
    <tableColumn id="38" xr3:uid="{59E14CB5-D223-4F2C-A002-5C75EC02B184}" name="Store Contribution %" dataDxfId="3" dataCellStyle="Percent">
      <calculatedColumnFormula>IFERROR(Table1[[#This Row],[Store Contribution]]/Table1[[#This Row],[Sales]],"")</calculatedColumnFormula>
    </tableColumn>
    <tableColumn id="37" xr3:uid="{ABC0BD96-8AE3-4108-9986-5BB84F4EB748}" name="Admin. Costs %" dataDxfId="2" dataCellStyle="Percent">
      <calculatedColumnFormula>IFERROR(Table1[[#This Row],[Admin. Costs]]/Table1[[#This Row],[Sales]],"")</calculatedColumnFormula>
    </tableColumn>
    <tableColumn id="36" xr3:uid="{A2F472BF-B038-4869-8805-7D5BC642BE37}" name="EBITDA %" dataDxfId="1" dataCellStyle="Percent">
      <calculatedColumnFormula>IFERROR(Table1[[#This Row],[EBITDA]]/Table1[[#This Row],[Sales]],"")</calculatedColumnFormula>
    </tableColumn>
    <tableColumn id="27" xr3:uid="{80F98701-B928-4267-97A8-5F7B28680DC9}" name="FCFF %" dataDxfId="0" dataCellStyle="Percent">
      <calculatedColumnFormula>IFERROR(Table1[[#This Row],[FCFF]]/Table1[[#This Row],[Sales]],"")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eestem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2196F3"/>
      </a:accent1>
      <a:accent2>
        <a:srgbClr val="26A69A"/>
      </a:accent2>
      <a:accent3>
        <a:srgbClr val="092943"/>
      </a:accent3>
      <a:accent4>
        <a:srgbClr val="145E9A"/>
      </a:accent4>
      <a:accent5>
        <a:srgbClr val="124E48"/>
      </a:accent5>
      <a:accent6>
        <a:srgbClr val="2DC3B4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E23A-9A46-4004-84D6-82D98323A193}">
  <dimension ref="A1:AK25"/>
  <sheetViews>
    <sheetView showGridLines="0" tabSelected="1" zoomScale="85" zoomScaleNormal="85" workbookViewId="0">
      <selection activeCell="F32" sqref="F32"/>
    </sheetView>
  </sheetViews>
  <sheetFormatPr defaultRowHeight="15" x14ac:dyDescent="0.25"/>
  <cols>
    <col min="1" max="1" width="13" customWidth="1"/>
    <col min="2" max="2" width="10.42578125" customWidth="1"/>
    <col min="3" max="6" width="13" customWidth="1"/>
    <col min="7" max="7" width="10.28515625" customWidth="1"/>
    <col min="8" max="8" width="11.7109375" bestFit="1" customWidth="1"/>
    <col min="9" max="9" width="12.5703125" bestFit="1" customWidth="1"/>
    <col min="10" max="12" width="10.140625" customWidth="1"/>
    <col min="13" max="24" width="10.140625" style="7" customWidth="1"/>
    <col min="25" max="37" width="10.140625" customWidth="1"/>
    <col min="38" max="38" width="9.28515625" bestFit="1" customWidth="1"/>
    <col min="39" max="39" width="12.28515625" customWidth="1"/>
  </cols>
  <sheetData>
    <row r="1" spans="1:3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2" t="s">
        <v>37</v>
      </c>
      <c r="B2" s="2" t="str">
        <f>+VLOOKUP($A2,[1]Database!$B$2:$I$120,2,FALSE)</f>
        <v>Alentejo</v>
      </c>
      <c r="C2" s="2" t="str">
        <f>+VLOOKUP($A2,[1]Database!$B$2:$I$120,3,FALSE)</f>
        <v>Central Portugal</v>
      </c>
      <c r="D2" s="2" t="str">
        <f>+VLOOKUP($A2,[1]Database!$B$2:$I$120,4,FALSE)</f>
        <v>Shopping Mall</v>
      </c>
      <c r="E2" s="2" t="str">
        <f>+VLOOKUP($A2,[1]Database!$B$2:$I$120,5,FALSE)</f>
        <v>Forum Coimbra</v>
      </c>
      <c r="F2" s="2" t="str">
        <f>+VLOOKUP($A2,[1]Database!$B$2:$I$120,6,FALSE)</f>
        <v>Bifanas do Mondego</v>
      </c>
      <c r="G2" s="2">
        <v>2024</v>
      </c>
      <c r="H2" s="2" t="s">
        <v>38</v>
      </c>
      <c r="I2" s="3">
        <f>IFERROR(('[1]Loja Alentejo Forum Coimbra (2)'!$AB$8/+VLOOKUP($A2,[1]Database!$B$2:$I$120,7,FALSE))*Table1[[#This Row],[Sales]],"")</f>
        <v>1642379.7198116558</v>
      </c>
      <c r="J2" s="4">
        <f>IFERROR(+Table1[[#This Row],[Tickets]]/Table1[[#This Row],[Sales]],"")</f>
        <v>17.15454119769355</v>
      </c>
      <c r="K2" s="3">
        <f>+'[1]Loja Alentejo Forum Coimbra (2)'!$D$8</f>
        <v>95740.23</v>
      </c>
      <c r="L2" s="3">
        <f>+'[1]Loja Alentejo Forum Coimbra (2)'!$D$10</f>
        <v>35157.230000000003</v>
      </c>
      <c r="M2" s="3">
        <f>+'[1]Loja Alentejo Forum Coimbra (2)'!$D$12+'[1]Loja Alentejo Forum Coimbra (2)'!$D$13+'[1]Loja Alentejo Forum Coimbra (2)'!$D$14+'[1]Loja Alentejo Forum Coimbra (2)'!$D$15+'[1]Loja Alentejo Forum Coimbra (2)'!$D$29+'[1]Loja Alentejo Forum Coimbra (2)'!$D$30</f>
        <v>25591.09</v>
      </c>
      <c r="N2" s="3">
        <f>+'[1]Loja Alentejo Forum Coimbra (2)'!$D$18</f>
        <v>9146.75</v>
      </c>
      <c r="O2" s="3">
        <f>+'[1]Loja Alentejo Forum Coimbra (2)'!$D$16</f>
        <v>3902.2300000000005</v>
      </c>
      <c r="P2" s="3">
        <f>+'[1]Loja Alentejo Forum Coimbra (2)'!$D$11</f>
        <v>442.8</v>
      </c>
      <c r="Q2" s="3">
        <f>+'[1]Loja Alentejo Forum Coimbra (2)'!$D$22+'[1]Loja Alentejo Forum Coimbra (2)'!$D$23</f>
        <v>1414.9099999999999</v>
      </c>
      <c r="R2" s="3">
        <f>+'[1]Loja Alentejo Forum Coimbra (2)'!$D$31</f>
        <v>8241.92</v>
      </c>
      <c r="S2" s="3">
        <f>+'[1]Loja Alentejo Forum Coimbra (2)'!$D$17+'[1]Loja Alentejo Forum Coimbra (2)'!$D$20+'[1]Loja Alentejo Forum Coimbra (2)'!$D$21+'[1]Loja Alentejo Forum Coimbra (2)'!$D$40</f>
        <v>209.61</v>
      </c>
      <c r="T2" s="3">
        <f t="shared" ref="T2:T3" si="0">+K2-SUM(L2:S2)</f>
        <v>11633.689999999988</v>
      </c>
      <c r="U2" s="3">
        <f>+'[1]Loja Alentejo Forum Coimbra (2)'!$D$24</f>
        <v>403.03</v>
      </c>
      <c r="V2" s="3">
        <f>+T2-U2</f>
        <v>11230.659999999987</v>
      </c>
      <c r="W2" s="3">
        <f>-+'[1]Loja Alentejo Forum Coimbra (2)'!$D$39</f>
        <v>-1.1599999999999999</v>
      </c>
      <c r="X2" s="3">
        <f>+'[1]Loja Alentejo Forum Coimbra (2)'!$D$32</f>
        <v>149</v>
      </c>
      <c r="Y2" s="3">
        <f t="shared" ref="Y2:Y25" si="1">+V2-SUM(W2:X2)</f>
        <v>11082.819999999987</v>
      </c>
      <c r="Z2" s="5">
        <f>IFERROR(+Table1[[#This Row],[Raw Materials]]/Table1[[#This Row],[Sales]],"")</f>
        <v>0.36721480614784408</v>
      </c>
      <c r="AA2" s="5">
        <f>IFERROR(+Table1[[#This Row],[Staff]]/Table1[[#This Row],[Sales]],"")</f>
        <v>0.26729714353099004</v>
      </c>
      <c r="AB2" s="5">
        <f>IFERROR(+Table1[[#This Row],[Rents]]/Table1[[#This Row],[Sales]],"")</f>
        <v>9.5537163426492711E-2</v>
      </c>
      <c r="AC2" s="5">
        <f>IFERROR(+Table1[[#This Row],[Utilities]]/Table1[[#This Row],[Sales]],"")</f>
        <v>4.0758519172139032E-2</v>
      </c>
      <c r="AD2" s="5">
        <f>IFERROR(+Table1[[#This Row],[Maintenance]]/Table1[[#This Row],[Sales]],"")</f>
        <v>4.6250150015307049E-3</v>
      </c>
      <c r="AE2" s="5">
        <f>IFERROR(Table1[[#This Row],[Banking costs]]/Table1[[#This Row],[Sales]],"")</f>
        <v>1.4778635898409685E-2</v>
      </c>
      <c r="AF2" s="5">
        <f>IFERROR(Table1[[#This Row],[VAT]]/Table1[[#This Row],[Sales]],"")</f>
        <v>8.6086277419638535E-2</v>
      </c>
      <c r="AG2" s="5">
        <f>IFERROR(Table1[[#This Row],[Others]]/Table1[[#This Row],[Sales]],"")</f>
        <v>2.1893617761310998E-3</v>
      </c>
      <c r="AH2" s="5">
        <f>IFERROR(Table1[[#This Row],[Store Contribution]]/Table1[[#This Row],[Sales]],"")</f>
        <v>0.12151307762682405</v>
      </c>
      <c r="AI2" s="5">
        <f>IFERROR(Table1[[#This Row],[Admin. Costs]]/Table1[[#This Row],[Sales]],"")</f>
        <v>4.2096201356524839E-3</v>
      </c>
      <c r="AJ2" s="5">
        <f>IFERROR(Table1[[#This Row],[EBITDA]]/Table1[[#This Row],[Sales]],"")</f>
        <v>0.11730345749117155</v>
      </c>
      <c r="AK2" s="6">
        <f>IFERROR(Table1[[#This Row],[FCFF]]/Table1[[#This Row],[Sales]],"")</f>
        <v>0.11575927904079598</v>
      </c>
    </row>
    <row r="3" spans="1:37" x14ac:dyDescent="0.25">
      <c r="A3" s="2" t="str">
        <f>+A2</f>
        <v>Loja Alentejo Forum Coimbra</v>
      </c>
      <c r="B3" s="2" t="str">
        <f>+VLOOKUP($A3,[1]Database!$B$2:$I$120,2,FALSE)</f>
        <v>Alentejo</v>
      </c>
      <c r="C3" s="2" t="str">
        <f>+VLOOKUP($A3,[1]Database!$B$2:$I$120,3,FALSE)</f>
        <v>Central Portugal</v>
      </c>
      <c r="D3" s="2" t="str">
        <f>+VLOOKUP($A3,[1]Database!$B$2:$I$120,4,FALSE)</f>
        <v>Shopping Mall</v>
      </c>
      <c r="E3" s="2" t="str">
        <f>+VLOOKUP($A3,[1]Database!$B$2:$I$120,5,FALSE)</f>
        <v>Forum Coimbra</v>
      </c>
      <c r="F3" s="2" t="str">
        <f>+VLOOKUP($A3,[1]Database!$B$2:$I$120,6,FALSE)</f>
        <v>Bifanas do Mondego</v>
      </c>
      <c r="G3" s="2">
        <v>2024</v>
      </c>
      <c r="H3" s="2" t="s">
        <v>39</v>
      </c>
      <c r="I3" s="3">
        <f>IFERROR(('[1]Loja Alentejo Forum Coimbra (2)'!$AB$8/+VLOOKUP($A3,[1]Database!$B$2:$I$120,7,FALSE))*Table1[[#This Row],[Sales]],"")</f>
        <v>1435245.1535751615</v>
      </c>
      <c r="J3" s="4">
        <f>IFERROR(+Table1[[#This Row],[Tickets]]/Table1[[#This Row],[Sales]],"")</f>
        <v>17.15454119769355</v>
      </c>
      <c r="K3" s="3">
        <f>+'[1]Loja Alentejo Forum Coimbra (2)'!$F$8</f>
        <v>83665.61</v>
      </c>
      <c r="L3" s="3">
        <f>+'[1]Loja Alentejo Forum Coimbra (2)'!$F$10</f>
        <v>32643.88</v>
      </c>
      <c r="M3" s="3">
        <f>+'[1]Loja Alentejo Forum Coimbra (2)'!$F$12+'[1]Loja Alentejo Forum Coimbra (2)'!$F$13+'[1]Loja Alentejo Forum Coimbra (2)'!$F$14+'[1]Loja Alentejo Forum Coimbra (2)'!$F$15+'[1]Loja Alentejo Forum Coimbra (2)'!$F$29+'[1]Loja Alentejo Forum Coimbra (2)'!$F$30</f>
        <v>28954.61</v>
      </c>
      <c r="N3" s="3">
        <f>+'[1]Loja Alentejo Forum Coimbra (2)'!$F$18</f>
        <v>9146.75</v>
      </c>
      <c r="O3" s="3">
        <f>+'[1]Loja Alentejo Forum Coimbra (2)'!$F$16</f>
        <v>3951.6400000000003</v>
      </c>
      <c r="P3" s="3">
        <f>+'[1]Loja Alentejo Forum Coimbra (2)'!$F$11</f>
        <v>751.54</v>
      </c>
      <c r="Q3" s="3">
        <f>+'[1]Loja Alentejo Forum Coimbra (2)'!$F$22+'[1]Loja Alentejo Forum Coimbra (2)'!$F$23</f>
        <v>890.89079999999831</v>
      </c>
      <c r="R3" s="3">
        <f>+'[1]Loja Alentejo Forum Coimbra (2)'!$F$31</f>
        <v>8433.89</v>
      </c>
      <c r="S3" s="3">
        <f>+'[1]Loja Alentejo Forum Coimbra (2)'!$F$17+'[1]Loja Alentejo Forum Coimbra (2)'!$F$20+'[1]Loja Alentejo Forum Coimbra (2)'!$F$21+'[1]Loja Alentejo Forum Coimbra (2)'!$F$40</f>
        <v>15</v>
      </c>
      <c r="T3" s="3">
        <f t="shared" si="0"/>
        <v>-1122.5907999999908</v>
      </c>
      <c r="U3" s="3">
        <f>+'[1]Loja Alentejo Forum Coimbra (2)'!$F$24</f>
        <v>403.03</v>
      </c>
      <c r="V3" s="3">
        <f>+T3-U3</f>
        <v>-1525.6207999999908</v>
      </c>
      <c r="W3" s="3">
        <f>-+'[1]Loja Alentejo Forum Coimbra (2)'!$F$39</f>
        <v>-0.88</v>
      </c>
      <c r="X3" s="3">
        <f>+'[1]Loja Alentejo Forum Coimbra (2)'!$F$32</f>
        <v>0</v>
      </c>
      <c r="Y3" s="3">
        <f t="shared" si="1"/>
        <v>-1524.7407999999907</v>
      </c>
      <c r="Z3" s="5">
        <f>IFERROR(+Table1[[#This Row],[Raw Materials]]/Table1[[#This Row],[Sales]],"")</f>
        <v>0.39017082406977016</v>
      </c>
      <c r="AA3" s="5">
        <f>IFERROR(+Table1[[#This Row],[Staff]]/Table1[[#This Row],[Sales]],"")</f>
        <v>0.34607540660971697</v>
      </c>
      <c r="AB3" s="5">
        <f>IFERROR(+Table1[[#This Row],[Rents]]/Table1[[#This Row],[Sales]],"")</f>
        <v>0.10932508589849521</v>
      </c>
      <c r="AC3" s="5">
        <f>IFERROR(+Table1[[#This Row],[Utilities]]/Table1[[#This Row],[Sales]],"")</f>
        <v>4.7231353479643551E-2</v>
      </c>
      <c r="AD3" s="5">
        <f>IFERROR(+Table1[[#This Row],[Maintenance]]/Table1[[#This Row],[Sales]],"")</f>
        <v>8.9826632471812495E-3</v>
      </c>
      <c r="AE3" s="5">
        <f>IFERROR(Table1[[#This Row],[Banking costs]]/Table1[[#This Row],[Sales]],"")</f>
        <v>1.0648231692806619E-2</v>
      </c>
      <c r="AF3" s="5">
        <f>IFERROR(Table1[[#This Row],[VAT]]/Table1[[#This Row],[Sales]],"")</f>
        <v>0.10080473924710523</v>
      </c>
      <c r="AG3" s="5">
        <f>IFERROR(Table1[[#This Row],[Others]]/Table1[[#This Row],[Sales]],"")</f>
        <v>1.7928513280426688E-4</v>
      </c>
      <c r="AH3" s="5">
        <f>IFERROR(Table1[[#This Row],[Store Contribution]]/Table1[[#This Row],[Sales]],"")</f>
        <v>-1.3417589377523105E-2</v>
      </c>
      <c r="AI3" s="5">
        <f>IFERROR(Table1[[#This Row],[Admin. Costs]]/Table1[[#This Row],[Sales]],"")</f>
        <v>4.8171524716069123E-3</v>
      </c>
      <c r="AJ3" s="5">
        <f>IFERROR(Table1[[#This Row],[EBITDA]]/Table1[[#This Row],[Sales]],"")</f>
        <v>-1.8234741849130015E-2</v>
      </c>
      <c r="AK3" s="6">
        <f>IFERROR(Table1[[#This Row],[FCFF]]/Table1[[#This Row],[Sales]],"")</f>
        <v>-1.8224223788005499E-2</v>
      </c>
    </row>
    <row r="4" spans="1:37" x14ac:dyDescent="0.25">
      <c r="A4" s="2" t="str">
        <f>+A3</f>
        <v>Loja Alentejo Forum Coimbra</v>
      </c>
      <c r="B4" s="2" t="str">
        <f>+VLOOKUP($A4,[1]Database!$B$2:$I$120,2,FALSE)</f>
        <v>Alentejo</v>
      </c>
      <c r="C4" s="2" t="str">
        <f>+VLOOKUP($A4,[1]Database!$B$2:$I$120,3,FALSE)</f>
        <v>Central Portugal</v>
      </c>
      <c r="D4" s="2" t="str">
        <f>+VLOOKUP($A4,[1]Database!$B$2:$I$120,4,FALSE)</f>
        <v>Shopping Mall</v>
      </c>
      <c r="E4" s="2" t="str">
        <f>+VLOOKUP($A4,[1]Database!$B$2:$I$120,5,FALSE)</f>
        <v>Forum Coimbra</v>
      </c>
      <c r="F4" s="2" t="str">
        <f>+VLOOKUP($A4,[1]Database!$B$2:$I$120,6,FALSE)</f>
        <v>Bifanas do Mondego</v>
      </c>
      <c r="G4" s="2">
        <v>2024</v>
      </c>
      <c r="H4" s="2" t="s">
        <v>40</v>
      </c>
      <c r="I4" s="3">
        <f>IFERROR(('[1]Loja Alentejo Forum Coimbra (2)'!$AB$8/+VLOOKUP($A4,[1]Database!$B$2:$I$120,7,FALSE))*Table1[[#This Row],[Sales]],"")</f>
        <v>1667124.8023985052</v>
      </c>
      <c r="J4" s="4">
        <f>IFERROR(+Table1[[#This Row],[Tickets]]/Table1[[#This Row],[Sales]],"")</f>
        <v>17.15454119769355</v>
      </c>
      <c r="K4" s="3">
        <f>+'[1]Loja Alentejo Forum Coimbra (2)'!$H$8</f>
        <v>97182.71</v>
      </c>
      <c r="L4" s="3">
        <f>+'[1]Loja Alentejo Forum Coimbra (2)'!$H$10</f>
        <v>34768.01</v>
      </c>
      <c r="M4" s="3">
        <f>+'[1]Loja Alentejo Forum Coimbra (2)'!$H$12+'[1]Loja Alentejo Forum Coimbra (2)'!$H$13+'[1]Loja Alentejo Forum Coimbra (2)'!$H$14+'[1]Loja Alentejo Forum Coimbra (2)'!$H$15+'[1]Loja Alentejo Forum Coimbra (2)'!$H$29+'[1]Loja Alentejo Forum Coimbra (2)'!$H$30</f>
        <v>29862.400000000001</v>
      </c>
      <c r="N4" s="3">
        <f>+'[1]Loja Alentejo Forum Coimbra (2)'!$H$18</f>
        <v>9282.66</v>
      </c>
      <c r="O4" s="3">
        <f>+'[1]Loja Alentejo Forum Coimbra (2)'!$H$16</f>
        <v>2831.6800000000003</v>
      </c>
      <c r="P4" s="3">
        <f>+'[1]Loja Alentejo Forum Coimbra (2)'!$H$11</f>
        <v>747.96</v>
      </c>
      <c r="Q4" s="3">
        <f>+'[1]Loja Alentejo Forum Coimbra (2)'!$H$22+'[1]Loja Alentejo Forum Coimbra (2)'!$H$23</f>
        <v>983.52464500000008</v>
      </c>
      <c r="R4" s="3">
        <f>+'[1]Loja Alentejo Forum Coimbra (2)'!$H$31</f>
        <v>6320.15</v>
      </c>
      <c r="S4" s="3">
        <f>+'[1]Loja Alentejo Forum Coimbra (2)'!$H$17+'[1]Loja Alentejo Forum Coimbra (2)'!$H$20+'[1]Loja Alentejo Forum Coimbra (2)'!$H$21+'[1]Loja Alentejo Forum Coimbra (2)'!$H$40</f>
        <v>40</v>
      </c>
      <c r="T4" s="3">
        <f>+K4-SUM(L4:S4)</f>
        <v>12346.325355000008</v>
      </c>
      <c r="U4" s="3">
        <f>+'[1]Loja Alentejo Forum Coimbra (2)'!$H$24</f>
        <v>403.03</v>
      </c>
      <c r="V4" s="3">
        <f>+T4-U4</f>
        <v>11943.295355000007</v>
      </c>
      <c r="W4" s="3">
        <f>-+'[1]Loja Alentejo Forum Coimbra (2)'!$H$39</f>
        <v>0.28000000000000003</v>
      </c>
      <c r="X4" s="3">
        <f>+'[1]Loja Alentejo Forum Coimbra (2)'!$H$32</f>
        <v>148.84</v>
      </c>
      <c r="Y4" s="3">
        <f t="shared" si="1"/>
        <v>11794.175355000007</v>
      </c>
      <c r="Z4" s="5">
        <f>IFERROR(+Table1[[#This Row],[Raw Materials]]/Table1[[#This Row],[Sales]],"")</f>
        <v>0.35775921457633769</v>
      </c>
      <c r="AA4" s="5">
        <f>IFERROR(+Table1[[#This Row],[Staff]]/Table1[[#This Row],[Sales]],"")</f>
        <v>0.30728099679459442</v>
      </c>
      <c r="AB4" s="5">
        <f>IFERROR(+Table1[[#This Row],[Rents]]/Table1[[#This Row],[Sales]],"")</f>
        <v>9.551760801895727E-2</v>
      </c>
      <c r="AC4" s="5">
        <f>IFERROR(+Table1[[#This Row],[Utilities]]/Table1[[#This Row],[Sales]],"")</f>
        <v>2.9137693320138942E-2</v>
      </c>
      <c r="AD4" s="5">
        <f>IFERROR(+Table1[[#This Row],[Maintenance]]/Table1[[#This Row],[Sales]],"")</f>
        <v>7.6964307745688507E-3</v>
      </c>
      <c r="AE4" s="5">
        <f>IFERROR(Table1[[#This Row],[Banking costs]]/Table1[[#This Row],[Sales]],"")</f>
        <v>1.0120366524045275E-2</v>
      </c>
      <c r="AF4" s="5">
        <f>IFERROR(Table1[[#This Row],[VAT]]/Table1[[#This Row],[Sales]],"")</f>
        <v>6.5033687576730462E-2</v>
      </c>
      <c r="AG4" s="5">
        <f>IFERROR(Table1[[#This Row],[Others]]/Table1[[#This Row],[Sales]],"")</f>
        <v>4.1159584868542972E-4</v>
      </c>
      <c r="AH4" s="5">
        <f>IFERROR(Table1[[#This Row],[Store Contribution]]/Table1[[#This Row],[Sales]],"")</f>
        <v>0.12704240656594168</v>
      </c>
      <c r="AI4" s="5">
        <f>IFERROR(Table1[[#This Row],[Admin. Costs]]/Table1[[#This Row],[Sales]],"")</f>
        <v>4.1471368723922184E-3</v>
      </c>
      <c r="AJ4" s="5">
        <f>IFERROR(Table1[[#This Row],[EBITDA]]/Table1[[#This Row],[Sales]],"")</f>
        <v>0.12289526969354947</v>
      </c>
      <c r="AK4" s="6">
        <f>IFERROR(Table1[[#This Row],[FCFF]]/Table1[[#This Row],[Sales]],"")</f>
        <v>0.12136084036965018</v>
      </c>
    </row>
    <row r="5" spans="1:37" x14ac:dyDescent="0.25">
      <c r="A5" s="2" t="str">
        <f>+A4</f>
        <v>Loja Alentejo Forum Coimbra</v>
      </c>
      <c r="B5" s="2" t="str">
        <f>+VLOOKUP($A5,[1]Database!$B$2:$I$120,2,FALSE)</f>
        <v>Alentejo</v>
      </c>
      <c r="C5" s="2" t="str">
        <f>+VLOOKUP($A5,[1]Database!$B$2:$I$120,3,FALSE)</f>
        <v>Central Portugal</v>
      </c>
      <c r="D5" s="2" t="str">
        <f>+VLOOKUP($A5,[1]Database!$B$2:$I$120,4,FALSE)</f>
        <v>Shopping Mall</v>
      </c>
      <c r="E5" s="2" t="str">
        <f>+VLOOKUP($A5,[1]Database!$B$2:$I$120,5,FALSE)</f>
        <v>Forum Coimbra</v>
      </c>
      <c r="F5" s="2" t="str">
        <f>+VLOOKUP($A5,[1]Database!$B$2:$I$120,6,FALSE)</f>
        <v>Bifanas do Mondego</v>
      </c>
      <c r="G5" s="2">
        <v>2024</v>
      </c>
      <c r="H5" s="2" t="s">
        <v>41</v>
      </c>
      <c r="I5" s="3">
        <f>IFERROR(('[1]Loja Alentejo Forum Coimbra (2)'!$AB$8/+VLOOKUP($A5,[1]Database!$B$2:$I$120,7,FALSE))*Table1[[#This Row],[Sales]],"")</f>
        <v>1581917.6816333251</v>
      </c>
      <c r="J5" s="4">
        <f>IFERROR(+Table1[[#This Row],[Tickets]]/Table1[[#This Row],[Sales]],"")</f>
        <v>17.15454119769355</v>
      </c>
      <c r="K5" s="3">
        <f>+'[1]Loja Alentejo Forum Coimbra (2)'!$J$8</f>
        <v>92215.679999999993</v>
      </c>
      <c r="L5" s="3">
        <f>+'[1]Loja Alentejo Forum Coimbra (2)'!$J$10</f>
        <v>33990.76</v>
      </c>
      <c r="M5" s="3">
        <f>+'[1]Loja Alentejo Forum Coimbra (2)'!$J$12+'[1]Loja Alentejo Forum Coimbra (2)'!$J$13+'[1]Loja Alentejo Forum Coimbra (2)'!$J$14+'[1]Loja Alentejo Forum Coimbra (2)'!$J$15+'[1]Loja Alentejo Forum Coimbra (2)'!$J$29+'[1]Loja Alentejo Forum Coimbra (2)'!$J$30</f>
        <v>29924.6</v>
      </c>
      <c r="N5" s="3">
        <f>+'[1]Loja Alentejo Forum Coimbra (2)'!$J$18</f>
        <v>9282.66</v>
      </c>
      <c r="O5" s="3">
        <f>+'[1]Loja Alentejo Forum Coimbra (2)'!$J$16</f>
        <v>3155.6800000000003</v>
      </c>
      <c r="P5" s="3">
        <f>+'[1]Loja Alentejo Forum Coimbra (2)'!$J$11</f>
        <v>1305.1899999999998</v>
      </c>
      <c r="Q5" s="3">
        <f>+'[1]Loja Alentejo Forum Coimbra (2)'!$J$22+'[1]Loja Alentejo Forum Coimbra (2)'!$J$23</f>
        <v>1047.9197600000009</v>
      </c>
      <c r="R5" s="3">
        <f>+'[1]Loja Alentejo Forum Coimbra (2)'!$J$31</f>
        <v>4705.75</v>
      </c>
      <c r="S5" s="3">
        <f>+'[1]Loja Alentejo Forum Coimbra (2)'!$J$17+'[1]Loja Alentejo Forum Coimbra (2)'!$J$20+'[1]Loja Alentejo Forum Coimbra (2)'!$J$21+'[1]Loja Alentejo Forum Coimbra (2)'!$J$40</f>
        <v>15</v>
      </c>
      <c r="T5" s="3">
        <f>+K5-SUM(L5:S5)</f>
        <v>8788.1202399999747</v>
      </c>
      <c r="U5" s="3">
        <f>+'[1]Loja Alentejo Forum Coimbra (2)'!$J$24</f>
        <v>403.03</v>
      </c>
      <c r="V5" s="3">
        <f>+T5-U5</f>
        <v>8385.0902399999741</v>
      </c>
      <c r="W5" s="3">
        <f>-+'[1]Loja Alentejo Forum Coimbra (2)'!$J$39</f>
        <v>0.17</v>
      </c>
      <c r="X5" s="3">
        <f>+'[1]Loja Alentejo Forum Coimbra (2)'!$J$32</f>
        <v>0</v>
      </c>
      <c r="Y5" s="3">
        <f t="shared" si="1"/>
        <v>8384.920239999974</v>
      </c>
      <c r="Z5" s="5">
        <f>IFERROR(+Table1[[#This Row],[Raw Materials]]/Table1[[#This Row],[Sales]],"")</f>
        <v>0.36860065446570478</v>
      </c>
      <c r="AA5" s="5">
        <f>IFERROR(+Table1[[#This Row],[Staff]]/Table1[[#This Row],[Sales]],"")</f>
        <v>0.32450663488031539</v>
      </c>
      <c r="AB5" s="5">
        <f>IFERROR(+Table1[[#This Row],[Rents]]/Table1[[#This Row],[Sales]],"")</f>
        <v>0.10066249037040122</v>
      </c>
      <c r="AC5" s="5">
        <f>IFERROR(+Table1[[#This Row],[Utilities]]/Table1[[#This Row],[Sales]],"")</f>
        <v>3.4220644471742771E-2</v>
      </c>
      <c r="AD5" s="5">
        <f>IFERROR(+Table1[[#This Row],[Maintenance]]/Table1[[#This Row],[Sales]],"")</f>
        <v>1.4153666708308175E-2</v>
      </c>
      <c r="AE5" s="5">
        <f>IFERROR(Table1[[#This Row],[Banking costs]]/Table1[[#This Row],[Sales]],"")</f>
        <v>1.1363791494027924E-2</v>
      </c>
      <c r="AF5" s="5">
        <f>IFERROR(Table1[[#This Row],[VAT]]/Table1[[#This Row],[Sales]],"")</f>
        <v>5.1029824862756534E-2</v>
      </c>
      <c r="AG5" s="5">
        <f>IFERROR(Table1[[#This Row],[Others]]/Table1[[#This Row],[Sales]],"")</f>
        <v>1.6266214162276958E-4</v>
      </c>
      <c r="AH5" s="5">
        <f>IFERROR(Table1[[#This Row],[Store Contribution]]/Table1[[#This Row],[Sales]],"")</f>
        <v>9.5299630605120256E-2</v>
      </c>
      <c r="AI5" s="5">
        <f>IFERROR(Table1[[#This Row],[Admin. Costs]]/Table1[[#This Row],[Sales]],"")</f>
        <v>4.3705148625483217E-3</v>
      </c>
      <c r="AJ5" s="5">
        <f>IFERROR(Table1[[#This Row],[EBITDA]]/Table1[[#This Row],[Sales]],"")</f>
        <v>9.0929115742571925E-2</v>
      </c>
      <c r="AK5" s="6">
        <f>IFERROR(Table1[[#This Row],[FCFF]]/Table1[[#This Row],[Sales]],"")</f>
        <v>9.0927272238300202E-2</v>
      </c>
    </row>
    <row r="6" spans="1:37" x14ac:dyDescent="0.25">
      <c r="A6" s="2" t="str">
        <f t="shared" ref="A6:A25" si="2">+A5</f>
        <v>Loja Alentejo Forum Coimbra</v>
      </c>
      <c r="B6" s="2" t="str">
        <f>+VLOOKUP($A6,[1]Database!$B$2:$I$120,2,FALSE)</f>
        <v>Alentejo</v>
      </c>
      <c r="C6" s="2" t="str">
        <f>+VLOOKUP($A6,[1]Database!$B$2:$I$120,3,FALSE)</f>
        <v>Central Portugal</v>
      </c>
      <c r="D6" s="2" t="str">
        <f>+VLOOKUP($A6,[1]Database!$B$2:$I$120,4,FALSE)</f>
        <v>Shopping Mall</v>
      </c>
      <c r="E6" s="2" t="str">
        <f>+VLOOKUP($A6,[1]Database!$B$2:$I$120,5,FALSE)</f>
        <v>Forum Coimbra</v>
      </c>
      <c r="F6" s="2" t="str">
        <f>+VLOOKUP($A6,[1]Database!$B$2:$I$120,6,FALSE)</f>
        <v>Bifanas do Mondego</v>
      </c>
      <c r="G6" s="2">
        <v>2024</v>
      </c>
      <c r="H6" s="2" t="s">
        <v>42</v>
      </c>
      <c r="I6" s="3">
        <f>IFERROR(('[1]Loja Alentejo Forum Coimbra (2)'!$AB$8/+VLOOKUP($A6,[1]Database!$B$2:$I$120,7,FALSE))*Table1[[#This Row],[Sales]],"")</f>
        <v>1830159.3318510288</v>
      </c>
      <c r="J6" s="4">
        <f>IFERROR(+Table1[[#This Row],[Tickets]]/Table1[[#This Row],[Sales]],"")</f>
        <v>17.15454119769355</v>
      </c>
      <c r="K6" s="3">
        <f>+'[1]Loja Alentejo Forum Coimbra (2)'!$L$8</f>
        <v>106686.58</v>
      </c>
      <c r="L6" s="3">
        <f>+'[1]Loja Alentejo Forum Coimbra (2)'!$L$10</f>
        <v>41281.83</v>
      </c>
      <c r="M6" s="3">
        <f>+'[1]Loja Alentejo Forum Coimbra (2)'!$L$12+'[1]Loja Alentejo Forum Coimbra (2)'!$L$13+'[1]Loja Alentejo Forum Coimbra (2)'!$L$14+'[1]Loja Alentejo Forum Coimbra (2)'!$L$15+'[1]Loja Alentejo Forum Coimbra (2)'!$L$29+'[1]Loja Alentejo Forum Coimbra (2)'!$L$30</f>
        <v>30218.489999999998</v>
      </c>
      <c r="N6" s="3">
        <f>+'[1]Loja Alentejo Forum Coimbra (2)'!$L$18</f>
        <v>9282.66</v>
      </c>
      <c r="O6" s="3">
        <f>+'[1]Loja Alentejo Forum Coimbra (2)'!$L$16</f>
        <v>3425.1699999999996</v>
      </c>
      <c r="P6" s="3">
        <f>+'[1]Loja Alentejo Forum Coimbra (2)'!$L$11</f>
        <v>638.49</v>
      </c>
      <c r="Q6" s="3">
        <f>+'[1]Loja Alentejo Forum Coimbra (2)'!$L$22+'[1]Loja Alentejo Forum Coimbra (2)'!$L$23</f>
        <v>1751.4743150000006</v>
      </c>
      <c r="R6" s="3">
        <f>+'[1]Loja Alentejo Forum Coimbra (2)'!$L$31</f>
        <v>6500.35</v>
      </c>
      <c r="S6" s="3">
        <f>+'[1]Loja Alentejo Forum Coimbra (2)'!$L$17+'[1]Loja Alentejo Forum Coimbra (2)'!$L$20+'[1]Loja Alentejo Forum Coimbra (2)'!$L$21+'[1]Loja Alentejo Forum Coimbra (2)'!$L$40</f>
        <v>3512.65</v>
      </c>
      <c r="T6" s="3">
        <f t="shared" ref="T6:T15" si="3">+K6-SUM(L6:S6)</f>
        <v>10075.465684999988</v>
      </c>
      <c r="U6" s="3">
        <f>+'[1]Loja Alentejo Forum Coimbra (2)'!$L$24</f>
        <v>403.03</v>
      </c>
      <c r="V6" s="3">
        <f t="shared" ref="V6:V13" si="4">+T6-U6</f>
        <v>9672.4356849999876</v>
      </c>
      <c r="W6" s="3">
        <f>-+'[1]Loja Alentejo Forum Coimbra (2)'!$L$39</f>
        <v>-1.9</v>
      </c>
      <c r="X6" s="3">
        <f>+'[1]Loja Alentejo Forum Coimbra (2)'!$L$32</f>
        <v>0</v>
      </c>
      <c r="Y6" s="3">
        <f t="shared" si="1"/>
        <v>9674.3356849999873</v>
      </c>
      <c r="Z6" s="5">
        <f>IFERROR(+Table1[[#This Row],[Raw Materials]]/Table1[[#This Row],[Sales]],"")</f>
        <v>0.38694491847053303</v>
      </c>
      <c r="AA6" s="5">
        <f>IFERROR(+Table1[[#This Row],[Staff]]/Table1[[#This Row],[Sales]],"")</f>
        <v>0.2832454653621852</v>
      </c>
      <c r="AB6" s="5">
        <f>IFERROR(+Table1[[#This Row],[Rents]]/Table1[[#This Row],[Sales]],"")</f>
        <v>8.700869406442685E-2</v>
      </c>
      <c r="AC6" s="5">
        <f>IFERROR(+Table1[[#This Row],[Utilities]]/Table1[[#This Row],[Sales]],"")</f>
        <v>3.2104975152451219E-2</v>
      </c>
      <c r="AD6" s="5">
        <f>IFERROR(+Table1[[#This Row],[Maintenance]]/Table1[[#This Row],[Sales]],"")</f>
        <v>5.9847264763759414E-3</v>
      </c>
      <c r="AE6" s="5">
        <f>IFERROR(Table1[[#This Row],[Banking costs]]/Table1[[#This Row],[Sales]],"")</f>
        <v>1.6417006853158108E-2</v>
      </c>
      <c r="AF6" s="5">
        <f>IFERROR(Table1[[#This Row],[VAT]]/Table1[[#This Row],[Sales]],"")</f>
        <v>6.0929406491425635E-2</v>
      </c>
      <c r="AG6" s="5">
        <f>IFERROR(Table1[[#This Row],[Others]]/Table1[[#This Row],[Sales]],"")</f>
        <v>3.2924947073943132E-2</v>
      </c>
      <c r="AH6" s="5">
        <f>IFERROR(Table1[[#This Row],[Store Contribution]]/Table1[[#This Row],[Sales]],"")</f>
        <v>9.4439860055500771E-2</v>
      </c>
      <c r="AI6" s="5">
        <f>IFERROR(Table1[[#This Row],[Admin. Costs]]/Table1[[#This Row],[Sales]],"")</f>
        <v>3.7777010004444792E-3</v>
      </c>
      <c r="AJ6" s="5">
        <f>IFERROR(Table1[[#This Row],[EBITDA]]/Table1[[#This Row],[Sales]],"")</f>
        <v>9.0662159055056285E-2</v>
      </c>
      <c r="AK6" s="6">
        <f>IFERROR(Table1[[#This Row],[FCFF]]/Table1[[#This Row],[Sales]],"")</f>
        <v>9.0679968230305885E-2</v>
      </c>
    </row>
    <row r="7" spans="1:37" x14ac:dyDescent="0.25">
      <c r="A7" s="2" t="str">
        <f t="shared" si="2"/>
        <v>Loja Alentejo Forum Coimbra</v>
      </c>
      <c r="B7" s="2" t="str">
        <f>+VLOOKUP($A7,[1]Database!$B$2:$I$120,2,FALSE)</f>
        <v>Alentejo</v>
      </c>
      <c r="C7" s="2" t="str">
        <f>+VLOOKUP($A7,[1]Database!$B$2:$I$120,3,FALSE)</f>
        <v>Central Portugal</v>
      </c>
      <c r="D7" s="2" t="str">
        <f>+VLOOKUP($A7,[1]Database!$B$2:$I$120,4,FALSE)</f>
        <v>Shopping Mall</v>
      </c>
      <c r="E7" s="2" t="str">
        <f>+VLOOKUP($A7,[1]Database!$B$2:$I$120,5,FALSE)</f>
        <v>Forum Coimbra</v>
      </c>
      <c r="F7" s="2" t="str">
        <f>+VLOOKUP($A7,[1]Database!$B$2:$I$120,6,FALSE)</f>
        <v>Bifanas do Mondego</v>
      </c>
      <c r="G7" s="2">
        <v>2024</v>
      </c>
      <c r="H7" s="2" t="s">
        <v>43</v>
      </c>
      <c r="I7" s="3">
        <f>IFERROR(('[1]Loja Alentejo Forum Coimbra (2)'!$AB$8/+VLOOKUP($A7,[1]Database!$B$2:$I$120,7,FALSE))*Table1[[#This Row],[Sales]],"")</f>
        <v>1706815.0928221964</v>
      </c>
      <c r="J7" s="4">
        <f>IFERROR(+Table1[[#This Row],[Tickets]]/Table1[[#This Row],[Sales]],"")</f>
        <v>17.15454119769355</v>
      </c>
      <c r="K7" s="3">
        <f>+'[1]Loja Alentejo Forum Coimbra (2)'!$N$8</f>
        <v>99496.4</v>
      </c>
      <c r="L7" s="3">
        <f>+'[1]Loja Alentejo Forum Coimbra (2)'!$N$10</f>
        <v>37261.71</v>
      </c>
      <c r="M7" s="3">
        <f>+'[1]Loja Alentejo Forum Coimbra (2)'!$N$12+'[1]Loja Alentejo Forum Coimbra (2)'!$N$13+'[1]Loja Alentejo Forum Coimbra (2)'!$N$14+'[1]Loja Alentejo Forum Coimbra (2)'!$N$15+'[1]Loja Alentejo Forum Coimbra (2)'!$N$29+'[1]Loja Alentejo Forum Coimbra (2)'!$N$30</f>
        <v>30408.129999999997</v>
      </c>
      <c r="N7" s="3">
        <f>+'[1]Loja Alentejo Forum Coimbra (2)'!$N$18</f>
        <v>8922.9</v>
      </c>
      <c r="O7" s="3">
        <f>+'[1]Loja Alentejo Forum Coimbra (2)'!$N$16</f>
        <v>3777.7999999999997</v>
      </c>
      <c r="P7" s="3">
        <f>+'[1]Loja Alentejo Forum Coimbra (2)'!$N$11</f>
        <v>2510.69</v>
      </c>
      <c r="Q7" s="3">
        <f>+'[1]Loja Alentejo Forum Coimbra (2)'!$N$22+'[1]Loja Alentejo Forum Coimbra (2)'!$N$23</f>
        <v>1600.915275000001</v>
      </c>
      <c r="R7" s="3">
        <f>+'[1]Loja Alentejo Forum Coimbra (2)'!$N$31</f>
        <v>5651.33</v>
      </c>
      <c r="S7" s="3">
        <f>+'[1]Loja Alentejo Forum Coimbra (2)'!$N$17+'[1]Loja Alentejo Forum Coimbra (2)'!$N$20+'[1]Loja Alentejo Forum Coimbra (2)'!$N$21+'[1]Loja Alentejo Forum Coimbra (2)'!$N$40</f>
        <v>1830.11</v>
      </c>
      <c r="T7" s="3">
        <f t="shared" si="3"/>
        <v>7532.8147249999893</v>
      </c>
      <c r="U7" s="3">
        <f>+'[1]Loja Alentejo Forum Coimbra (2)'!$N$24</f>
        <v>403.03</v>
      </c>
      <c r="V7" s="3">
        <f t="shared" si="4"/>
        <v>7129.7847249999895</v>
      </c>
      <c r="W7" s="3">
        <f>-+'[1]Loja Alentejo Forum Coimbra (2)'!$N$39</f>
        <v>3.29</v>
      </c>
      <c r="X7" s="3">
        <f>+'[1]Loja Alentejo Forum Coimbra (2)'!$N$32</f>
        <v>148.83000000000001</v>
      </c>
      <c r="Y7" s="3">
        <f t="shared" si="1"/>
        <v>6977.6647249999896</v>
      </c>
      <c r="Z7" s="5">
        <f>IFERROR(+Table1[[#This Row],[Raw Materials]]/Table1[[#This Row],[Sales]],"")</f>
        <v>0.37450309759951117</v>
      </c>
      <c r="AA7" s="5">
        <f>IFERROR(+Table1[[#This Row],[Staff]]/Table1[[#This Row],[Sales]],"")</f>
        <v>0.30562040435633853</v>
      </c>
      <c r="AB7" s="5">
        <f>IFERROR(+Table1[[#This Row],[Rents]]/Table1[[#This Row],[Sales]],"")</f>
        <v>8.9680631661045021E-2</v>
      </c>
      <c r="AC7" s="5">
        <f>IFERROR(+Table1[[#This Row],[Utilities]]/Table1[[#This Row],[Sales]],"")</f>
        <v>3.7969212956448672E-2</v>
      </c>
      <c r="AD7" s="5">
        <f>IFERROR(+Table1[[#This Row],[Maintenance]]/Table1[[#This Row],[Sales]],"")</f>
        <v>2.52339783147933E-2</v>
      </c>
      <c r="AE7" s="5">
        <f>IFERROR(Table1[[#This Row],[Banking costs]]/Table1[[#This Row],[Sales]],"")</f>
        <v>1.6090182911140515E-2</v>
      </c>
      <c r="AF7" s="5">
        <f>IFERROR(Table1[[#This Row],[VAT]]/Table1[[#This Row],[Sales]],"")</f>
        <v>5.6799341483711976E-2</v>
      </c>
      <c r="AG7" s="5">
        <f>IFERROR(Table1[[#This Row],[Others]]/Table1[[#This Row],[Sales]],"")</f>
        <v>1.8393730828452085E-2</v>
      </c>
      <c r="AH7" s="5">
        <f>IFERROR(Table1[[#This Row],[Store Contribution]]/Table1[[#This Row],[Sales]],"")</f>
        <v>7.5709419888558685E-2</v>
      </c>
      <c r="AI7" s="5">
        <f>IFERROR(Table1[[#This Row],[Admin. Costs]]/Table1[[#This Row],[Sales]],"")</f>
        <v>4.0506993217845066E-3</v>
      </c>
      <c r="AJ7" s="5">
        <f>IFERROR(Table1[[#This Row],[EBITDA]]/Table1[[#This Row],[Sales]],"")</f>
        <v>7.1658720566774178E-2</v>
      </c>
      <c r="AK7" s="6">
        <f>IFERROR(Table1[[#This Row],[FCFF]]/Table1[[#This Row],[Sales]],"")</f>
        <v>7.012982102870044E-2</v>
      </c>
    </row>
    <row r="8" spans="1:37" x14ac:dyDescent="0.25">
      <c r="A8" s="2" t="str">
        <f t="shared" si="2"/>
        <v>Loja Alentejo Forum Coimbra</v>
      </c>
      <c r="B8" s="2" t="str">
        <f>+VLOOKUP($A8,[1]Database!$B$2:$I$120,2,FALSE)</f>
        <v>Alentejo</v>
      </c>
      <c r="C8" s="2" t="str">
        <f>+VLOOKUP($A8,[1]Database!$B$2:$I$120,3,FALSE)</f>
        <v>Central Portugal</v>
      </c>
      <c r="D8" s="2" t="str">
        <f>+VLOOKUP($A8,[1]Database!$B$2:$I$120,4,FALSE)</f>
        <v>Shopping Mall</v>
      </c>
      <c r="E8" s="2" t="str">
        <f>+VLOOKUP($A8,[1]Database!$B$2:$I$120,5,FALSE)</f>
        <v>Forum Coimbra</v>
      </c>
      <c r="F8" s="2" t="str">
        <f>+VLOOKUP($A8,[1]Database!$B$2:$I$120,6,FALSE)</f>
        <v>Bifanas do Mondego</v>
      </c>
      <c r="G8" s="2">
        <v>2024</v>
      </c>
      <c r="H8" s="2" t="s">
        <v>44</v>
      </c>
      <c r="I8" s="3">
        <f>IFERROR(('[1]Loja Alentejo Forum Coimbra (2)'!$AB$8/+VLOOKUP($A8,[1]Database!$B$2:$I$120,7,FALSE))*Table1[[#This Row],[Sales]],"")</f>
        <v>1739168.2144302228</v>
      </c>
      <c r="J8" s="4">
        <f>IFERROR(+Table1[[#This Row],[Tickets]]/Table1[[#This Row],[Sales]],"")</f>
        <v>17.15454119769355</v>
      </c>
      <c r="K8" s="3">
        <f>+'[1]Loja Alentejo Forum Coimbra (2)'!$P$8</f>
        <v>101382.38</v>
      </c>
      <c r="L8" s="3">
        <f>+'[1]Loja Alentejo Forum Coimbra (2)'!$P$10</f>
        <v>39568.9</v>
      </c>
      <c r="M8" s="3">
        <f>+'[1]Loja Alentejo Forum Coimbra (2)'!$P$12+'[1]Loja Alentejo Forum Coimbra (2)'!$P$13+'[1]Loja Alentejo Forum Coimbra (2)'!$P$14+'[1]Loja Alentejo Forum Coimbra (2)'!$P$15+'[1]Loja Alentejo Forum Coimbra (2)'!$P$29+'[1]Loja Alentejo Forum Coimbra (2)'!$P$30</f>
        <v>29226.37</v>
      </c>
      <c r="N8" s="3">
        <f>+'[1]Loja Alentejo Forum Coimbra (2)'!$P$18</f>
        <v>9237.69</v>
      </c>
      <c r="O8" s="3">
        <f>+'[1]Loja Alentejo Forum Coimbra (2)'!$P$16</f>
        <v>3801.8199999999997</v>
      </c>
      <c r="P8" s="3">
        <f>+'[1]Loja Alentejo Forum Coimbra (2)'!$P$11</f>
        <v>1919.76</v>
      </c>
      <c r="Q8" s="3">
        <f>+'[1]Loja Alentejo Forum Coimbra (2)'!$P$22+'[1]Loja Alentejo Forum Coimbra (2)'!$P$23</f>
        <v>1446.7424250000008</v>
      </c>
      <c r="R8" s="3">
        <f>+'[1]Loja Alentejo Forum Coimbra (2)'!$P$31</f>
        <v>6104.32</v>
      </c>
      <c r="S8" s="3">
        <f>+'[1]Loja Alentejo Forum Coimbra (2)'!$P$17+'[1]Loja Alentejo Forum Coimbra (2)'!$P$20+'[1]Loja Alentejo Forum Coimbra (2)'!$P$21+'[1]Loja Alentejo Forum Coimbra (2)'!$P$40</f>
        <v>135</v>
      </c>
      <c r="T8" s="3">
        <f t="shared" si="3"/>
        <v>9941.7775750000146</v>
      </c>
      <c r="U8" s="3">
        <f>+'[1]Loja Alentejo Forum Coimbra (2)'!$P$24</f>
        <v>403.03</v>
      </c>
      <c r="V8" s="3">
        <f t="shared" si="4"/>
        <v>9538.747575000014</v>
      </c>
      <c r="W8" s="3">
        <f>-+'[1]Loja Alentejo Forum Coimbra (2)'!$P$39</f>
        <v>5691.92</v>
      </c>
      <c r="X8" s="3">
        <f>+'[1]Loja Alentejo Forum Coimbra (2)'!$P$32</f>
        <v>0</v>
      </c>
      <c r="Y8" s="3">
        <f t="shared" si="1"/>
        <v>3846.8275750000139</v>
      </c>
      <c r="Z8" s="5">
        <f>IFERROR(+Table1[[#This Row],[Raw Materials]]/Table1[[#This Row],[Sales]],"")</f>
        <v>0.3902936585233055</v>
      </c>
      <c r="AA8" s="5">
        <f>IFERROR(+Table1[[#This Row],[Staff]]/Table1[[#This Row],[Sales]],"")</f>
        <v>0.28827859436718684</v>
      </c>
      <c r="AB8" s="5">
        <f>IFERROR(+Table1[[#This Row],[Rents]]/Table1[[#This Row],[Sales]],"")</f>
        <v>9.1117312495524377E-2</v>
      </c>
      <c r="AC8" s="5">
        <f>IFERROR(+Table1[[#This Row],[Utilities]]/Table1[[#This Row],[Sales]],"")</f>
        <v>3.7499810124796827E-2</v>
      </c>
      <c r="AD8" s="5">
        <f>IFERROR(+Table1[[#This Row],[Maintenance]]/Table1[[#This Row],[Sales]],"")</f>
        <v>1.8935834806797787E-2</v>
      </c>
      <c r="AE8" s="5">
        <f>IFERROR(Table1[[#This Row],[Banking costs]]/Table1[[#This Row],[Sales]],"")</f>
        <v>1.4270156461112876E-2</v>
      </c>
      <c r="AF8" s="5">
        <f>IFERROR(Table1[[#This Row],[VAT]]/Table1[[#This Row],[Sales]],"")</f>
        <v>6.0210857152889874E-2</v>
      </c>
      <c r="AG8" s="5">
        <f>IFERROR(Table1[[#This Row],[Others]]/Table1[[#This Row],[Sales]],"")</f>
        <v>1.3315923338947063E-3</v>
      </c>
      <c r="AH8" s="5">
        <f>IFERROR(Table1[[#This Row],[Store Contribution]]/Table1[[#This Row],[Sales]],"")</f>
        <v>9.8062183734491284E-2</v>
      </c>
      <c r="AI8" s="5">
        <f>IFERROR(Table1[[#This Row],[Admin. Costs]]/Table1[[#This Row],[Sales]],"")</f>
        <v>3.975345617256174E-3</v>
      </c>
      <c r="AJ8" s="5">
        <f>IFERROR(Table1[[#This Row],[EBITDA]]/Table1[[#This Row],[Sales]],"")</f>
        <v>9.4086838117235103E-2</v>
      </c>
      <c r="AK8" s="6">
        <f>IFERROR(Table1[[#This Row],[FCFF]]/Table1[[#This Row],[Sales]],"")</f>
        <v>3.7943748953220606E-2</v>
      </c>
    </row>
    <row r="9" spans="1:37" x14ac:dyDescent="0.25">
      <c r="A9" s="2" t="str">
        <f t="shared" si="2"/>
        <v>Loja Alentejo Forum Coimbra</v>
      </c>
      <c r="B9" s="2" t="str">
        <f>+VLOOKUP($A9,[1]Database!$B$2:$I$120,2,FALSE)</f>
        <v>Alentejo</v>
      </c>
      <c r="C9" s="2" t="str">
        <f>+VLOOKUP($A9,[1]Database!$B$2:$I$120,3,FALSE)</f>
        <v>Central Portugal</v>
      </c>
      <c r="D9" s="2" t="str">
        <f>+VLOOKUP($A9,[1]Database!$B$2:$I$120,4,FALSE)</f>
        <v>Shopping Mall</v>
      </c>
      <c r="E9" s="2" t="str">
        <f>+VLOOKUP($A9,[1]Database!$B$2:$I$120,5,FALSE)</f>
        <v>Forum Coimbra</v>
      </c>
      <c r="F9" s="2" t="str">
        <f>+VLOOKUP($A9,[1]Database!$B$2:$I$120,6,FALSE)</f>
        <v>Bifanas do Mondego</v>
      </c>
      <c r="G9" s="2">
        <v>2024</v>
      </c>
      <c r="H9" s="2" t="s">
        <v>45</v>
      </c>
      <c r="I9" s="3">
        <f>IFERROR(('[1]Loja Alentejo Forum Coimbra (2)'!$AB$8/+VLOOKUP($A9,[1]Database!$B$2:$I$120,7,FALSE))*Table1[[#This Row],[Sales]],"")</f>
        <v>2164677.8600230003</v>
      </c>
      <c r="J9" s="4">
        <f>IFERROR(+Table1[[#This Row],[Tickets]]/Table1[[#This Row],[Sales]],"")</f>
        <v>17.15454119769355</v>
      </c>
      <c r="K9" s="3">
        <f>+'[1]Loja Alentejo Forum Coimbra (2)'!$R$8</f>
        <v>126186.87</v>
      </c>
      <c r="L9" s="3">
        <f>+'[1]Loja Alentejo Forum Coimbra (2)'!$R$10</f>
        <v>44791.520000000004</v>
      </c>
      <c r="M9" s="3">
        <f>+'[1]Loja Alentejo Forum Coimbra (2)'!$R$12+'[1]Loja Alentejo Forum Coimbra (2)'!$R$13+'[1]Loja Alentejo Forum Coimbra (2)'!$R$14+'[1]Loja Alentejo Forum Coimbra (2)'!$R$15+'[1]Loja Alentejo Forum Coimbra (2)'!$R$29+'[1]Loja Alentejo Forum Coimbra (2)'!$R$30</f>
        <v>28793.5</v>
      </c>
      <c r="N9" s="3">
        <f>+'[1]Loja Alentejo Forum Coimbra (2)'!$R$18</f>
        <v>9237.69</v>
      </c>
      <c r="O9" s="3">
        <f>+'[1]Loja Alentejo Forum Coimbra (2)'!$R$16</f>
        <v>3923.17</v>
      </c>
      <c r="P9" s="3">
        <f>+'[1]Loja Alentejo Forum Coimbra (2)'!$R$11</f>
        <v>500.52000000000004</v>
      </c>
      <c r="Q9" s="3">
        <f>+'[1]Loja Alentejo Forum Coimbra (2)'!$R$22+'[1]Loja Alentejo Forum Coimbra (2)'!$R$23</f>
        <v>1699.0182049999985</v>
      </c>
      <c r="R9" s="3">
        <f>+'[1]Loja Alentejo Forum Coimbra (2)'!$R$31</f>
        <v>6115.77</v>
      </c>
      <c r="S9" s="3">
        <f>+'[1]Loja Alentejo Forum Coimbra (2)'!$R$17+'[1]Loja Alentejo Forum Coimbra (2)'!$R$20+'[1]Loja Alentejo Forum Coimbra (2)'!$R$21+'[1]Loja Alentejo Forum Coimbra (2)'!$R$40</f>
        <v>15</v>
      </c>
      <c r="T9" s="3">
        <f t="shared" si="3"/>
        <v>31110.681794999982</v>
      </c>
      <c r="U9" s="3">
        <f>+'[1]Loja Alentejo Forum Coimbra (2)'!$R$24</f>
        <v>403.03</v>
      </c>
      <c r="V9" s="3">
        <f t="shared" si="4"/>
        <v>30707.651794999983</v>
      </c>
      <c r="W9" s="3">
        <f>-+'[1]Loja Alentejo Forum Coimbra (2)'!$R$39</f>
        <v>-3.1</v>
      </c>
      <c r="X9" s="3">
        <f>+'[1]Loja Alentejo Forum Coimbra (2)'!$R$32</f>
        <v>0</v>
      </c>
      <c r="Y9" s="3">
        <f t="shared" si="1"/>
        <v>30710.751794999982</v>
      </c>
      <c r="Z9" s="5">
        <f>IFERROR(+Table1[[#This Row],[Raw Materials]]/Table1[[#This Row],[Sales]],"")</f>
        <v>0.35496181179547448</v>
      </c>
      <c r="AA9" s="5">
        <f>IFERROR(+Table1[[#This Row],[Staff]]/Table1[[#This Row],[Sales]],"")</f>
        <v>0.22818142648280285</v>
      </c>
      <c r="AB9" s="5">
        <f>IFERROR(+Table1[[#This Row],[Rents]]/Table1[[#This Row],[Sales]],"")</f>
        <v>7.3206427895390391E-2</v>
      </c>
      <c r="AC9" s="5">
        <f>IFERROR(+Table1[[#This Row],[Utilities]]/Table1[[#This Row],[Sales]],"")</f>
        <v>3.1090160172765995E-2</v>
      </c>
      <c r="AD9" s="5">
        <f>IFERROR(+Table1[[#This Row],[Maintenance]]/Table1[[#This Row],[Sales]],"")</f>
        <v>3.9664982577030401E-3</v>
      </c>
      <c r="AE9" s="5">
        <f>IFERROR(Table1[[#This Row],[Banking costs]]/Table1[[#This Row],[Sales]],"")</f>
        <v>1.346430262514633E-2</v>
      </c>
      <c r="AF9" s="5">
        <f>IFERROR(Table1[[#This Row],[VAT]]/Table1[[#This Row],[Sales]],"")</f>
        <v>4.8465977482443308E-2</v>
      </c>
      <c r="AG9" s="5">
        <f>IFERROR(Table1[[#This Row],[Others]]/Table1[[#This Row],[Sales]],"")</f>
        <v>1.1887132155667226E-4</v>
      </c>
      <c r="AH9" s="5">
        <f>IFERROR(Table1[[#This Row],[Store Contribution]]/Table1[[#This Row],[Sales]],"")</f>
        <v>0.24654452396671686</v>
      </c>
      <c r="AI9" s="5">
        <f>IFERROR(Table1[[#This Row],[Admin. Costs]]/Table1[[#This Row],[Sales]],"")</f>
        <v>3.1939139151323744E-3</v>
      </c>
      <c r="AJ9" s="5">
        <f>IFERROR(Table1[[#This Row],[EBITDA]]/Table1[[#This Row],[Sales]],"")</f>
        <v>0.24335061005158448</v>
      </c>
      <c r="AK9" s="6">
        <f>IFERROR(Table1[[#This Row],[FCFF]]/Table1[[#This Row],[Sales]],"")</f>
        <v>0.24337517679137285</v>
      </c>
    </row>
    <row r="10" spans="1:37" x14ac:dyDescent="0.25">
      <c r="A10" s="2" t="str">
        <f t="shared" si="2"/>
        <v>Loja Alentejo Forum Coimbra</v>
      </c>
      <c r="B10" s="2" t="str">
        <f>+VLOOKUP($A10,[1]Database!$B$2:$I$120,2,FALSE)</f>
        <v>Alentejo</v>
      </c>
      <c r="C10" s="2" t="str">
        <f>+VLOOKUP($A10,[1]Database!$B$2:$I$120,3,FALSE)</f>
        <v>Central Portugal</v>
      </c>
      <c r="D10" s="2" t="str">
        <f>+VLOOKUP($A10,[1]Database!$B$2:$I$120,4,FALSE)</f>
        <v>Shopping Mall</v>
      </c>
      <c r="E10" s="2" t="str">
        <f>+VLOOKUP($A10,[1]Database!$B$2:$I$120,5,FALSE)</f>
        <v>Forum Coimbra</v>
      </c>
      <c r="F10" s="2" t="str">
        <f>+VLOOKUP($A10,[1]Database!$B$2:$I$120,6,FALSE)</f>
        <v>Bifanas do Mondego</v>
      </c>
      <c r="G10" s="2">
        <v>2024</v>
      </c>
      <c r="H10" s="2" t="s">
        <v>46</v>
      </c>
      <c r="I10" s="3">
        <f>IFERROR(('[1]Loja Alentejo Forum Coimbra (2)'!$AB$8/+VLOOKUP($A10,[1]Database!$B$2:$I$120,7,FALSE))*Table1[[#This Row],[Sales]],"")</f>
        <v>1585088.6985737188</v>
      </c>
      <c r="J10" s="4">
        <f>IFERROR(+Table1[[#This Row],[Tickets]]/Table1[[#This Row],[Sales]],"")</f>
        <v>17.15454119769355</v>
      </c>
      <c r="K10" s="3">
        <f>+'[1]Loja Alentejo Forum Coimbra (2)'!$T$8</f>
        <v>92400.53</v>
      </c>
      <c r="L10" s="3">
        <f>+'[1]Loja Alentejo Forum Coimbra (2)'!$T$10</f>
        <v>33095.31</v>
      </c>
      <c r="M10" s="3">
        <f>+'[1]Loja Alentejo Forum Coimbra (2)'!$T$12+'[1]Loja Alentejo Forum Coimbra (2)'!$T$13+'[1]Loja Alentejo Forum Coimbra (2)'!$T$14+'[1]Loja Alentejo Forum Coimbra (2)'!$T$15+'[1]Loja Alentejo Forum Coimbra (2)'!$T$29+'[1]Loja Alentejo Forum Coimbra (2)'!$T$30</f>
        <v>27497.22</v>
      </c>
      <c r="N10" s="3">
        <f>+'[1]Loja Alentejo Forum Coimbra (2)'!$T$18</f>
        <v>9237.69</v>
      </c>
      <c r="O10" s="3">
        <f>+'[1]Loja Alentejo Forum Coimbra (2)'!$T$16</f>
        <v>4321.96</v>
      </c>
      <c r="P10" s="3">
        <f>+'[1]Loja Alentejo Forum Coimbra (2)'!$T$11</f>
        <v>1729.3799999999999</v>
      </c>
      <c r="Q10" s="3">
        <f>+'[1]Loja Alentejo Forum Coimbra (2)'!$T$22+'[1]Loja Alentejo Forum Coimbra (2)'!$T$23</f>
        <v>1004.5501149999997</v>
      </c>
      <c r="R10" s="3">
        <f>+'[1]Loja Alentejo Forum Coimbra (2)'!$T$31</f>
        <v>6123.41</v>
      </c>
      <c r="S10" s="3">
        <f>+'[1]Loja Alentejo Forum Coimbra (2)'!$T$17+'[1]Loja Alentejo Forum Coimbra (2)'!$T$20+'[1]Loja Alentejo Forum Coimbra (2)'!$T$21+'[1]Loja Alentejo Forum Coimbra (2)'!$T$40</f>
        <v>15</v>
      </c>
      <c r="T10" s="3">
        <f t="shared" si="3"/>
        <v>9376.0098849999777</v>
      </c>
      <c r="U10" s="3">
        <f>+'[1]Loja Alentejo Forum Coimbra (2)'!$T$24</f>
        <v>609.91999999999996</v>
      </c>
      <c r="V10" s="3">
        <f t="shared" si="4"/>
        <v>8766.0898849999776</v>
      </c>
      <c r="W10" s="3">
        <f>-+'[1]Loja Alentejo Forum Coimbra (2)'!$T$39</f>
        <v>1.87</v>
      </c>
      <c r="X10" s="3">
        <f>+'[1]Loja Alentejo Forum Coimbra (2)'!$T$32</f>
        <v>148.84</v>
      </c>
      <c r="Y10" s="3">
        <f t="shared" si="1"/>
        <v>8615.3798849999785</v>
      </c>
      <c r="Z10" s="5">
        <f>IFERROR(+Table1[[#This Row],[Raw Materials]]/Table1[[#This Row],[Sales]],"")</f>
        <v>0.35817229619786811</v>
      </c>
      <c r="AA10" s="5">
        <f>IFERROR(+Table1[[#This Row],[Staff]]/Table1[[#This Row],[Sales]],"")</f>
        <v>0.29758725409908365</v>
      </c>
      <c r="AB10" s="5">
        <f>IFERROR(+Table1[[#This Row],[Rents]]/Table1[[#This Row],[Sales]],"")</f>
        <v>9.9974426553613938E-2</v>
      </c>
      <c r="AC10" s="5">
        <f>IFERROR(+Table1[[#This Row],[Utilities]]/Table1[[#This Row],[Sales]],"")</f>
        <v>4.6774190580941476E-2</v>
      </c>
      <c r="AD10" s="5">
        <f>IFERROR(+Table1[[#This Row],[Maintenance]]/Table1[[#This Row],[Sales]],"")</f>
        <v>1.8716126411829022E-2</v>
      </c>
      <c r="AE10" s="5">
        <f>IFERROR(Table1[[#This Row],[Banking costs]]/Table1[[#This Row],[Sales]],"")</f>
        <v>1.0871692132068936E-2</v>
      </c>
      <c r="AF10" s="5">
        <f>IFERROR(Table1[[#This Row],[VAT]]/Table1[[#This Row],[Sales]],"")</f>
        <v>6.6270290873872692E-2</v>
      </c>
      <c r="AG10" s="5">
        <f>IFERROR(Table1[[#This Row],[Others]]/Table1[[#This Row],[Sales]],"")</f>
        <v>1.6233673118541637E-4</v>
      </c>
      <c r="AH10" s="5">
        <f>IFERROR(Table1[[#This Row],[Store Contribution]]/Table1[[#This Row],[Sales]],"")</f>
        <v>0.10147138641953653</v>
      </c>
      <c r="AI10" s="5">
        <f>IFERROR(Table1[[#This Row],[Admin. Costs]]/Table1[[#This Row],[Sales]],"")</f>
        <v>6.600827938973943E-3</v>
      </c>
      <c r="AJ10" s="5">
        <f>IFERROR(Table1[[#This Row],[EBITDA]]/Table1[[#This Row],[Sales]],"")</f>
        <v>9.4870558480562583E-2</v>
      </c>
      <c r="AK10" s="6">
        <f>IFERROR(Table1[[#This Row],[FCFF]]/Table1[[#This Row],[Sales]],"")</f>
        <v>9.3239507230098995E-2</v>
      </c>
    </row>
    <row r="11" spans="1:37" x14ac:dyDescent="0.25">
      <c r="A11" s="2" t="str">
        <f t="shared" si="2"/>
        <v>Loja Alentejo Forum Coimbra</v>
      </c>
      <c r="B11" s="2" t="str">
        <f>+VLOOKUP($A11,[1]Database!$B$2:$I$120,2,FALSE)</f>
        <v>Alentejo</v>
      </c>
      <c r="C11" s="2" t="str">
        <f>+VLOOKUP($A11,[1]Database!$B$2:$I$120,3,FALSE)</f>
        <v>Central Portugal</v>
      </c>
      <c r="D11" s="2" t="str">
        <f>+VLOOKUP($A11,[1]Database!$B$2:$I$120,4,FALSE)</f>
        <v>Shopping Mall</v>
      </c>
      <c r="E11" s="2" t="str">
        <f>+VLOOKUP($A11,[1]Database!$B$2:$I$120,5,FALSE)</f>
        <v>Forum Coimbra</v>
      </c>
      <c r="F11" s="2" t="str">
        <f>+VLOOKUP($A11,[1]Database!$B$2:$I$120,6,FALSE)</f>
        <v>Bifanas do Mondego</v>
      </c>
      <c r="G11" s="2">
        <v>2024</v>
      </c>
      <c r="H11" s="2" t="s">
        <v>47</v>
      </c>
      <c r="I11" s="3">
        <f>IFERROR(('[1]Loja Alentejo Forum Coimbra (2)'!$AB$8/+VLOOKUP($A11,[1]Database!$B$2:$I$120,7,FALSE))*Table1[[#This Row],[Sales]],"")</f>
        <v>1953339.3657245173</v>
      </c>
      <c r="J11" s="4">
        <f>IFERROR(+Table1[[#This Row],[Tickets]]/Table1[[#This Row],[Sales]],"")</f>
        <v>17.15454119769355</v>
      </c>
      <c r="K11" s="3">
        <f>+'[1]Loja Alentejo Forum Coimbra (2)'!$V$8</f>
        <v>113867.18789</v>
      </c>
      <c r="L11" s="3">
        <f>+'[1]Loja Alentejo Forum Coimbra (2)'!$V$10</f>
        <v>46830.47</v>
      </c>
      <c r="M11" s="3">
        <f>+'[1]Loja Alentejo Forum Coimbra (2)'!$V$12+'[1]Loja Alentejo Forum Coimbra (2)'!$V$13+'[1]Loja Alentejo Forum Coimbra (2)'!$V$14+'[1]Loja Alentejo Forum Coimbra (2)'!$V$15+'[1]Loja Alentejo Forum Coimbra (2)'!$V$29+'[1]Loja Alentejo Forum Coimbra (2)'!$V$30</f>
        <v>31804</v>
      </c>
      <c r="N11" s="3">
        <f>+'[1]Loja Alentejo Forum Coimbra (2)'!$V$18</f>
        <v>9237.69</v>
      </c>
      <c r="O11" s="3">
        <f>+'[1]Loja Alentejo Forum Coimbra (2)'!$V$16</f>
        <v>3626.65</v>
      </c>
      <c r="P11" s="3">
        <f>+'[1]Loja Alentejo Forum Coimbra (2)'!$V$11</f>
        <v>739.78</v>
      </c>
      <c r="Q11" s="3">
        <f>+'[1]Loja Alentejo Forum Coimbra (2)'!$V$22+'[1]Loja Alentejo Forum Coimbra (2)'!$V$23</f>
        <v>1522.4832899999997</v>
      </c>
      <c r="R11" s="3">
        <f>+'[1]Loja Alentejo Forum Coimbra (2)'!$V$31</f>
        <v>5692.7</v>
      </c>
      <c r="S11" s="3">
        <f>+'[1]Loja Alentejo Forum Coimbra (2)'!$V$17+'[1]Loja Alentejo Forum Coimbra (2)'!$V$20+'[1]Loja Alentejo Forum Coimbra (2)'!$V$21+'[1]Loja Alentejo Forum Coimbra (2)'!$V$40</f>
        <v>384</v>
      </c>
      <c r="T11" s="3">
        <f t="shared" si="3"/>
        <v>14029.414600000004</v>
      </c>
      <c r="U11" s="3">
        <f>+'[1]Loja Alentejo Forum Coimbra (2)'!$V$24</f>
        <v>403.03</v>
      </c>
      <c r="V11" s="3">
        <f t="shared" si="4"/>
        <v>13626.384600000003</v>
      </c>
      <c r="W11" s="3">
        <f>-+'[1]Loja Alentejo Forum Coimbra (2)'!$V$39</f>
        <v>2.39</v>
      </c>
      <c r="X11" s="3">
        <f>+'[1]Loja Alentejo Forum Coimbra (2)'!$V$32</f>
        <v>9956.67</v>
      </c>
      <c r="Y11" s="3">
        <f t="shared" si="1"/>
        <v>3667.3246000000036</v>
      </c>
      <c r="Z11" s="5">
        <f>IFERROR(+Table1[[#This Row],[Raw Materials]]/Table1[[#This Row],[Sales]],"")</f>
        <v>0.41127273684180204</v>
      </c>
      <c r="AA11" s="5">
        <f>IFERROR(+Table1[[#This Row],[Staff]]/Table1[[#This Row],[Sales]],"")</f>
        <v>0.27930785496102584</v>
      </c>
      <c r="AB11" s="5">
        <f>IFERROR(+Table1[[#This Row],[Rents]]/Table1[[#This Row],[Sales]],"")</f>
        <v>8.112688274100488E-2</v>
      </c>
      <c r="AC11" s="5">
        <f>IFERROR(+Table1[[#This Row],[Utilities]]/Table1[[#This Row],[Sales]],"")</f>
        <v>3.1849824933794631E-2</v>
      </c>
      <c r="AD11" s="5">
        <f>IFERROR(+Table1[[#This Row],[Maintenance]]/Table1[[#This Row],[Sales]],"")</f>
        <v>6.4968672161699065E-3</v>
      </c>
      <c r="AE11" s="5">
        <f>IFERROR(Table1[[#This Row],[Banking costs]]/Table1[[#This Row],[Sales]],"")</f>
        <v>1.3370693684565003E-2</v>
      </c>
      <c r="AF11" s="5">
        <f>IFERROR(Table1[[#This Row],[VAT]]/Table1[[#This Row],[Sales]],"")</f>
        <v>4.9994209091203362E-2</v>
      </c>
      <c r="AG11" s="5">
        <f>IFERROR(Table1[[#This Row],[Others]]/Table1[[#This Row],[Sales]],"")</f>
        <v>3.3723499026862636E-3</v>
      </c>
      <c r="AH11" s="5">
        <f>IFERROR(Table1[[#This Row],[Store Contribution]]/Table1[[#This Row],[Sales]],"")</f>
        <v>0.12320858062774807</v>
      </c>
      <c r="AI11" s="5">
        <f>IFERROR(Table1[[#This Row],[Admin. Costs]]/Table1[[#This Row],[Sales]],"")</f>
        <v>3.5394744304157416E-3</v>
      </c>
      <c r="AJ11" s="5">
        <f>IFERROR(Table1[[#This Row],[EBITDA]]/Table1[[#This Row],[Sales]],"")</f>
        <v>0.11966910619733233</v>
      </c>
      <c r="AK11" s="6">
        <f>IFERROR(Table1[[#This Row],[FCFF]]/Table1[[#This Row],[Sales]],"")</f>
        <v>3.2207035827939982E-2</v>
      </c>
    </row>
    <row r="12" spans="1:37" x14ac:dyDescent="0.25">
      <c r="A12" s="2" t="str">
        <f t="shared" si="2"/>
        <v>Loja Alentejo Forum Coimbra</v>
      </c>
      <c r="B12" s="2" t="str">
        <f>+VLOOKUP($A12,[1]Database!$B$2:$I$120,2,FALSE)</f>
        <v>Alentejo</v>
      </c>
      <c r="C12" s="2" t="str">
        <f>+VLOOKUP($A12,[1]Database!$B$2:$I$120,3,FALSE)</f>
        <v>Central Portugal</v>
      </c>
      <c r="D12" s="2" t="str">
        <f>+VLOOKUP($A12,[1]Database!$B$2:$I$120,4,FALSE)</f>
        <v>Shopping Mall</v>
      </c>
      <c r="E12" s="2" t="str">
        <f>+VLOOKUP($A12,[1]Database!$B$2:$I$120,5,FALSE)</f>
        <v>Forum Coimbra</v>
      </c>
      <c r="F12" s="2" t="str">
        <f>+VLOOKUP($A12,[1]Database!$B$2:$I$120,6,FALSE)</f>
        <v>Bifanas do Mondego</v>
      </c>
      <c r="G12" s="2">
        <v>2024</v>
      </c>
      <c r="H12" s="2" t="s">
        <v>48</v>
      </c>
      <c r="I12" s="3">
        <f>IFERROR(('[1]Loja Alentejo Forum Coimbra (2)'!$AB$8/+VLOOKUP($A12,[1]Database!$B$2:$I$120,7,FALSE))*Table1[[#This Row],[Sales]],"")</f>
        <v>1963165.8662094618</v>
      </c>
      <c r="J12" s="4">
        <f>IFERROR(+Table1[[#This Row],[Tickets]]/Table1[[#This Row],[Sales]],"")</f>
        <v>17.15454119769355</v>
      </c>
      <c r="K12" s="3">
        <f>+'[1]Loja Alentejo Forum Coimbra (2)'!$X$8</f>
        <v>114440.01</v>
      </c>
      <c r="L12" s="3">
        <f>+'[1]Loja Alentejo Forum Coimbra (2)'!$X$10</f>
        <v>41311.620000000003</v>
      </c>
      <c r="M12" s="3">
        <f>+'[1]Loja Alentejo Forum Coimbra (2)'!$X$12+'[1]Loja Alentejo Forum Coimbra (2)'!$X$13+'[1]Loja Alentejo Forum Coimbra (2)'!$X$14+'[1]Loja Alentejo Forum Coimbra (2)'!$X$15+'[1]Loja Alentejo Forum Coimbra (2)'!$X$29+'[1]Loja Alentejo Forum Coimbra (2)'!$X$30</f>
        <v>34707.19</v>
      </c>
      <c r="N12" s="3">
        <f>+'[1]Loja Alentejo Forum Coimbra (2)'!$X$18</f>
        <v>9237.69</v>
      </c>
      <c r="O12" s="3">
        <f>+'[1]Loja Alentejo Forum Coimbra (2)'!$X$16</f>
        <v>4095.5400000000004</v>
      </c>
      <c r="P12" s="3">
        <f>+'[1]Loja Alentejo Forum Coimbra (2)'!$X$11</f>
        <v>1262.1299999999999</v>
      </c>
      <c r="Q12" s="3">
        <f>+'[1]Loja Alentejo Forum Coimbra (2)'!$X$22+'[1]Loja Alentejo Forum Coimbra (2)'!$X$23</f>
        <v>1725.0640640000008</v>
      </c>
      <c r="R12" s="3">
        <f>+'[1]Loja Alentejo Forum Coimbra (2)'!$X$31</f>
        <v>5410.23</v>
      </c>
      <c r="S12" s="3">
        <f>+'[1]Loja Alentejo Forum Coimbra (2)'!$X$17+'[1]Loja Alentejo Forum Coimbra (2)'!$X$20+'[1]Loja Alentejo Forum Coimbra (2)'!$X$21+'[1]Loja Alentejo Forum Coimbra (2)'!$X$40</f>
        <v>15</v>
      </c>
      <c r="T12" s="3">
        <f t="shared" si="3"/>
        <v>16675.545935999995</v>
      </c>
      <c r="U12" s="3">
        <f>+'[1]Loja Alentejo Forum Coimbra (2)'!$X$24</f>
        <v>403.03</v>
      </c>
      <c r="V12" s="3">
        <f t="shared" si="4"/>
        <v>16272.515935999994</v>
      </c>
      <c r="W12" s="3">
        <f>-+'[1]Loja Alentejo Forum Coimbra (2)'!$X$39</f>
        <v>40868.410000000003</v>
      </c>
      <c r="X12" s="3">
        <f>+'[1]Loja Alentejo Forum Coimbra (2)'!$X$32</f>
        <v>0</v>
      </c>
      <c r="Y12" s="3">
        <f t="shared" si="1"/>
        <v>-24595.894064000007</v>
      </c>
      <c r="Z12" s="5">
        <f>IFERROR(+Table1[[#This Row],[Raw Materials]]/Table1[[#This Row],[Sales]],"")</f>
        <v>0.360989307847841</v>
      </c>
      <c r="AA12" s="5">
        <f>IFERROR(+Table1[[#This Row],[Staff]]/Table1[[#This Row],[Sales]],"")</f>
        <v>0.30327846004207798</v>
      </c>
      <c r="AB12" s="5">
        <f>IFERROR(+Table1[[#This Row],[Rents]]/Table1[[#This Row],[Sales]],"")</f>
        <v>8.0720807347010898E-2</v>
      </c>
      <c r="AC12" s="5">
        <f>IFERROR(+Table1[[#This Row],[Utilities]]/Table1[[#This Row],[Sales]],"")</f>
        <v>3.5787658529564968E-2</v>
      </c>
      <c r="AD12" s="5">
        <f>IFERROR(+Table1[[#This Row],[Maintenance]]/Table1[[#This Row],[Sales]],"")</f>
        <v>1.1028747725555075E-2</v>
      </c>
      <c r="AE12" s="5">
        <f>IFERROR(Table1[[#This Row],[Banking costs]]/Table1[[#This Row],[Sales]],"")</f>
        <v>1.5073959395844171E-2</v>
      </c>
      <c r="AF12" s="5">
        <f>IFERROR(Table1[[#This Row],[VAT]]/Table1[[#This Row],[Sales]],"")</f>
        <v>4.7275686187024976E-2</v>
      </c>
      <c r="AG12" s="5">
        <f>IFERROR(Table1[[#This Row],[Others]]/Table1[[#This Row],[Sales]],"")</f>
        <v>1.3107303992720729E-4</v>
      </c>
      <c r="AH12" s="5">
        <f>IFERROR(Table1[[#This Row],[Store Contribution]]/Table1[[#This Row],[Sales]],"")</f>
        <v>0.14571429988515378</v>
      </c>
      <c r="AI12" s="5">
        <f>IFERROR(Table1[[#This Row],[Admin. Costs]]/Table1[[#This Row],[Sales]],"")</f>
        <v>3.5217578187908233E-3</v>
      </c>
      <c r="AJ12" s="5">
        <f>IFERROR(Table1[[#This Row],[EBITDA]]/Table1[[#This Row],[Sales]],"")</f>
        <v>0.14219254206636295</v>
      </c>
      <c r="AK12" s="6">
        <f>IFERROR(Table1[[#This Row],[FCFF]]/Table1[[#This Row],[Sales]],"")</f>
        <v>-0.21492390697973557</v>
      </c>
    </row>
    <row r="13" spans="1:37" x14ac:dyDescent="0.25">
      <c r="A13" s="2" t="str">
        <f t="shared" si="2"/>
        <v>Loja Alentejo Forum Coimbra</v>
      </c>
      <c r="B13" s="2" t="str">
        <f>+VLOOKUP($A13,[1]Database!$B$2:$I$120,2,FALSE)</f>
        <v>Alentejo</v>
      </c>
      <c r="C13" s="2" t="str">
        <f>+VLOOKUP($A13,[1]Database!$B$2:$I$120,3,FALSE)</f>
        <v>Central Portugal</v>
      </c>
      <c r="D13" s="2" t="str">
        <f>+VLOOKUP($A13,[1]Database!$B$2:$I$120,4,FALSE)</f>
        <v>Shopping Mall</v>
      </c>
      <c r="E13" s="2" t="str">
        <f>+VLOOKUP($A13,[1]Database!$B$2:$I$120,5,FALSE)</f>
        <v>Forum Coimbra</v>
      </c>
      <c r="F13" s="2" t="str">
        <f>+VLOOKUP($A13,[1]Database!$B$2:$I$120,6,FALSE)</f>
        <v>Bifanas do Mondego</v>
      </c>
      <c r="G13" s="2">
        <v>2024</v>
      </c>
      <c r="H13" s="2" t="s">
        <v>49</v>
      </c>
      <c r="I13" s="3">
        <f>IFERROR(('[1]Loja Alentejo Forum Coimbra (2)'!$AB$8/+VLOOKUP($A13,[1]Database!$B$2:$I$120,7,FALSE))*Table1[[#This Row],[Sales]],"")</f>
        <v>2370083.2485067672</v>
      </c>
      <c r="J13" s="4">
        <f>IFERROR(+Table1[[#This Row],[Tickets]]/Table1[[#This Row],[Sales]],"")</f>
        <v>17.15454119769355</v>
      </c>
      <c r="K13" s="3">
        <f>+'[1]Loja Alentejo Forum Coimbra (2)'!$Z$8</f>
        <v>138160.69</v>
      </c>
      <c r="L13" s="3">
        <f>+'[1]Loja Alentejo Forum Coimbra (2)'!$Z$10</f>
        <v>48396.61</v>
      </c>
      <c r="M13" s="3">
        <f>+'[1]Loja Alentejo Forum Coimbra (2)'!$Z$12+'[1]Loja Alentejo Forum Coimbra (2)'!$Z$13+'[1]Loja Alentejo Forum Coimbra (2)'!$Z$14+'[1]Loja Alentejo Forum Coimbra (2)'!$Z$15+'[1]Loja Alentejo Forum Coimbra (2)'!$Z$29+'[1]Loja Alentejo Forum Coimbra (2)'!$Z$30</f>
        <v>36271.25</v>
      </c>
      <c r="N13" s="3">
        <f>+'[1]Loja Alentejo Forum Coimbra (2)'!$Z$18</f>
        <v>9237.69</v>
      </c>
      <c r="O13" s="3">
        <f>+'[1]Loja Alentejo Forum Coimbra (2)'!$Z$16</f>
        <v>4764.74</v>
      </c>
      <c r="P13" s="3">
        <f>+'[1]Loja Alentejo Forum Coimbra (2)'!$Z$11</f>
        <v>3419.0600000000004</v>
      </c>
      <c r="Q13" s="3">
        <f>+'[1]Loja Alentejo Forum Coimbra (2)'!$Z$22+'[1]Loja Alentejo Forum Coimbra (2)'!$Z$23</f>
        <v>1691.0507049999985</v>
      </c>
      <c r="R13" s="3">
        <f>+'[1]Loja Alentejo Forum Coimbra (2)'!$Z$31</f>
        <v>4568.5600000000004</v>
      </c>
      <c r="S13" s="3">
        <f>+'[1]Loja Alentejo Forum Coimbra (2)'!$Z$17+'[1]Loja Alentejo Forum Coimbra (2)'!$Z$20+'[1]Loja Alentejo Forum Coimbra (2)'!$Z$21+'[1]Loja Alentejo Forum Coimbra (2)'!$Z$40</f>
        <v>2501.3199999999997</v>
      </c>
      <c r="T13" s="3">
        <f t="shared" si="3"/>
        <v>27310.40929499999</v>
      </c>
      <c r="U13" s="3">
        <f>+'[1]Loja Alentejo Forum Coimbra (2)'!$Z$24</f>
        <v>403.03</v>
      </c>
      <c r="V13" s="3">
        <f t="shared" si="4"/>
        <v>26907.379294999992</v>
      </c>
      <c r="W13" s="3">
        <f>-+'[1]Loja Alentejo Forum Coimbra (2)'!$Z$39</f>
        <v>4299.33</v>
      </c>
      <c r="X13" s="3">
        <f>+'[1]Loja Alentejo Forum Coimbra (2)'!$Z$32</f>
        <v>0</v>
      </c>
      <c r="Y13" s="3">
        <f t="shared" si="1"/>
        <v>22608.04929499999</v>
      </c>
      <c r="Z13" s="5">
        <f>IFERROR(+Table1[[#This Row],[Raw Materials]]/Table1[[#This Row],[Sales]],"")</f>
        <v>0.35029218513601806</v>
      </c>
      <c r="AA13" s="5">
        <f>IFERROR(+Table1[[#This Row],[Staff]]/Table1[[#This Row],[Sales]],"")</f>
        <v>0.262529450308912</v>
      </c>
      <c r="AB13" s="5">
        <f>IFERROR(+Table1[[#This Row],[Rents]]/Table1[[#This Row],[Sales]],"")</f>
        <v>6.6861927224017195E-2</v>
      </c>
      <c r="AC13" s="5">
        <f>IFERROR(+Table1[[#This Row],[Utilities]]/Table1[[#This Row],[Sales]],"")</f>
        <v>3.4486944151769942E-2</v>
      </c>
      <c r="AD13" s="5">
        <f>IFERROR(+Table1[[#This Row],[Maintenance]]/Table1[[#This Row],[Sales]],"")</f>
        <v>2.4746981214410557E-2</v>
      </c>
      <c r="AE13" s="5">
        <f>IFERROR(Table1[[#This Row],[Banking costs]]/Table1[[#This Row],[Sales]],"")</f>
        <v>1.223973841618769E-2</v>
      </c>
      <c r="AF13" s="5">
        <f>IFERROR(Table1[[#This Row],[VAT]]/Table1[[#This Row],[Sales]],"")</f>
        <v>3.3067003356743514E-2</v>
      </c>
      <c r="AG13" s="5">
        <f>IFERROR(Table1[[#This Row],[Others]]/Table1[[#This Row],[Sales]],"")</f>
        <v>1.8104426085306897E-2</v>
      </c>
      <c r="AH13" s="5">
        <f>IFERROR(Table1[[#This Row],[Store Contribution]]/Table1[[#This Row],[Sales]],"")</f>
        <v>0.19767134410663403</v>
      </c>
      <c r="AI13" s="5">
        <f>IFERROR(Table1[[#This Row],[Admin. Costs]]/Table1[[#This Row],[Sales]],"")</f>
        <v>2.9171105037185323E-3</v>
      </c>
      <c r="AJ13" s="5">
        <f>IFERROR(Table1[[#This Row],[EBITDA]]/Table1[[#This Row],[Sales]],"")</f>
        <v>0.19475423360291549</v>
      </c>
      <c r="AK13" s="6">
        <f>IFERROR(Table1[[#This Row],[FCFF]]/Table1[[#This Row],[Sales]],"")</f>
        <v>0.1636359032008308</v>
      </c>
    </row>
    <row r="14" spans="1:37" x14ac:dyDescent="0.25">
      <c r="A14" s="2" t="str">
        <f t="shared" si="2"/>
        <v>Loja Alentejo Forum Coimbra</v>
      </c>
      <c r="B14" s="2" t="str">
        <f>+VLOOKUP($A14,[1]Database!$B$2:$I$120,2,FALSE)</f>
        <v>Alentejo</v>
      </c>
      <c r="C14" s="2" t="str">
        <f>+VLOOKUP($A14,[1]Database!$B$2:$I$120,3,FALSE)</f>
        <v>Central Portugal</v>
      </c>
      <c r="D14" s="2" t="str">
        <f>+VLOOKUP($A14,[1]Database!$B$2:$I$120,4,FALSE)</f>
        <v>Shopping Mall</v>
      </c>
      <c r="E14" s="2" t="str">
        <f>+VLOOKUP($A14,[1]Database!$B$2:$I$120,5,FALSE)</f>
        <v>Forum Coimbra</v>
      </c>
      <c r="F14" s="2" t="str">
        <f>+VLOOKUP($A14,[1]Database!$B$2:$I$120,6,FALSE)</f>
        <v>Bifanas do Mondego</v>
      </c>
      <c r="G14" s="2">
        <v>2025</v>
      </c>
      <c r="H14" s="2" t="s">
        <v>38</v>
      </c>
      <c r="I14" s="3">
        <f>IFERROR(('[1]Loja Alentejo Forum Coimbra'!$AB$8/+VLOOKUP($A14,[1]Database!$B$2:$I$120,8,FALSE))*Table1[[#This Row],[Sales]],"")</f>
        <v>1856623.175155723</v>
      </c>
      <c r="J14" s="4">
        <f>IFERROR(+Table1[[#This Row],[Tickets]]/Table1[[#This Row],[Sales]],"")</f>
        <v>18.281945668221816</v>
      </c>
      <c r="K14" s="3">
        <f>+'[1]Loja Alentejo Forum Coimbra'!$D$8</f>
        <v>101555.01</v>
      </c>
      <c r="L14" s="3">
        <f>+'[1]Loja Alentejo Forum Coimbra'!$D$10</f>
        <v>38329.29</v>
      </c>
      <c r="M14" s="3">
        <f>+'[1]Loja Alentejo Forum Coimbra'!$D$12+'[1]Loja Alentejo Forum Coimbra'!$D$13+'[1]Loja Alentejo Forum Coimbra'!$D$14+'[1]Loja Alentejo Forum Coimbra'!$D$15+'[1]Loja Alentejo Forum Coimbra'!$D$29+'[1]Loja Alentejo Forum Coimbra'!$D$30</f>
        <v>35583.089999999997</v>
      </c>
      <c r="N14" s="3">
        <f>+'[1]Loja Alentejo Forum Coimbra'!$D$18</f>
        <v>9334.7000000000007</v>
      </c>
      <c r="O14" s="3">
        <f>+'[1]Loja Alentejo Forum Coimbra'!$D$16</f>
        <v>4623.75</v>
      </c>
      <c r="P14" s="3">
        <f>+'[1]Loja Alentejo Forum Coimbra'!$D$11</f>
        <v>1462.22</v>
      </c>
      <c r="Q14" s="3">
        <f>+'[1]Loja Alentejo Forum Coimbra'!$D$22+'[1]Loja Alentejo Forum Coimbra'!$D$23</f>
        <v>1528.7920550000006</v>
      </c>
      <c r="R14" s="3">
        <f>+'[1]Loja Alentejo Forum Coimbra'!$D$31</f>
        <v>7679.99</v>
      </c>
      <c r="S14" s="3">
        <f>+'[1]Loja Alentejo Forum Coimbra'!$D$17+'[1]Loja Alentejo Forum Coimbra'!$D$20+'[1]Loja Alentejo Forum Coimbra'!$D$21+'[1]Loja Alentejo Forum Coimbra'!$D$40</f>
        <v>1452.37</v>
      </c>
      <c r="T14" s="3">
        <f t="shared" si="3"/>
        <v>1560.8079449999932</v>
      </c>
      <c r="U14" s="3">
        <f>+'[1]Loja Alentejo Forum Coimbra'!$D$24</f>
        <v>445.33</v>
      </c>
      <c r="V14" s="3">
        <f>+T14-U14</f>
        <v>1115.4779449999933</v>
      </c>
      <c r="W14" s="3">
        <f>-+'[1]Loja Alentejo Forum Coimbra'!$D$39</f>
        <v>1.26</v>
      </c>
      <c r="X14" s="3">
        <f>+'[1]Loja Alentejo Forum Coimbra'!$D$32</f>
        <v>0</v>
      </c>
      <c r="Y14" s="3">
        <f t="shared" si="1"/>
        <v>1114.2179449999933</v>
      </c>
      <c r="Z14" s="5">
        <f>IFERROR(+Table1[[#This Row],[Raw Materials]]/Table1[[#This Row],[Sales]],"")</f>
        <v>0.37742392029698979</v>
      </c>
      <c r="AA14" s="5">
        <f>IFERROR(+Table1[[#This Row],[Staff]]/Table1[[#This Row],[Sales]],"")</f>
        <v>0.35038241835631739</v>
      </c>
      <c r="AB14" s="5">
        <f>IFERROR(+Table1[[#This Row],[Rents]]/Table1[[#This Row],[Sales]],"")</f>
        <v>9.1917671023812625E-2</v>
      </c>
      <c r="AC14" s="5">
        <f>IFERROR(+Table1[[#This Row],[Utilities]]/Table1[[#This Row],[Sales]],"")</f>
        <v>4.5529511542562011E-2</v>
      </c>
      <c r="AD14" s="5">
        <f>IFERROR(+Table1[[#This Row],[Maintenance]]/Table1[[#This Row],[Sales]],"")</f>
        <v>1.4398304918683973E-2</v>
      </c>
      <c r="AE14" s="5">
        <f>IFERROR(Table1[[#This Row],[Banking costs]]/Table1[[#This Row],[Sales]],"")</f>
        <v>1.5053831957674966E-2</v>
      </c>
      <c r="AF14" s="5">
        <f>IFERROR(Table1[[#This Row],[VAT]]/Table1[[#This Row],[Sales]],"")</f>
        <v>7.5623940167993689E-2</v>
      </c>
      <c r="AG14" s="5">
        <f>IFERROR(Table1[[#This Row],[Others]]/Table1[[#This Row],[Sales]],"")</f>
        <v>1.4301313150380272E-2</v>
      </c>
      <c r="AH14" s="5">
        <f>IFERROR(Table1[[#This Row],[Store Contribution]]/Table1[[#This Row],[Sales]],"")</f>
        <v>1.5369088585585224E-2</v>
      </c>
      <c r="AI14" s="5">
        <f>IFERROR(Table1[[#This Row],[Admin. Costs]]/Table1[[#This Row],[Sales]],"")</f>
        <v>4.3851110841306596E-3</v>
      </c>
      <c r="AJ14" s="5">
        <f>IFERROR(Table1[[#This Row],[EBITDA]]/Table1[[#This Row],[Sales]],"")</f>
        <v>1.0983977501454564E-2</v>
      </c>
      <c r="AK14" s="6">
        <f>IFERROR(Table1[[#This Row],[FCFF]]/Table1[[#This Row],[Sales]],"")</f>
        <v>1.0971570432615716E-2</v>
      </c>
    </row>
    <row r="15" spans="1:37" x14ac:dyDescent="0.25">
      <c r="A15" s="2" t="str">
        <f t="shared" si="2"/>
        <v>Loja Alentejo Forum Coimbra</v>
      </c>
      <c r="B15" s="2" t="str">
        <f>+VLOOKUP($A15,[1]Database!$B$2:$I$120,2,FALSE)</f>
        <v>Alentejo</v>
      </c>
      <c r="C15" s="2" t="str">
        <f>+VLOOKUP($A15,[1]Database!$B$2:$I$120,3,FALSE)</f>
        <v>Central Portugal</v>
      </c>
      <c r="D15" s="2" t="str">
        <f>+VLOOKUP($A15,[1]Database!$B$2:$I$120,4,FALSE)</f>
        <v>Shopping Mall</v>
      </c>
      <c r="E15" s="2" t="str">
        <f>+VLOOKUP($A15,[1]Database!$B$2:$I$120,5,FALSE)</f>
        <v>Forum Coimbra</v>
      </c>
      <c r="F15" s="2" t="str">
        <f>+VLOOKUP($A15,[1]Database!$B$2:$I$120,6,FALSE)</f>
        <v>Bifanas do Mondego</v>
      </c>
      <c r="G15" s="2">
        <v>2025</v>
      </c>
      <c r="H15" s="2" t="s">
        <v>39</v>
      </c>
      <c r="I15" s="3">
        <f>IFERROR(('[1]Loja Alentejo Forum Coimbra'!$AB$8/+VLOOKUP($A15,[1]Database!$B$2:$I$120,8,FALSE))*Table1[[#This Row],[Sales]],"")</f>
        <v>1735801.0869846656</v>
      </c>
      <c r="J15" s="4">
        <f>IFERROR(+Table1[[#This Row],[Tickets]]/Table1[[#This Row],[Sales]],"")</f>
        <v>18.281945668221816</v>
      </c>
      <c r="K15" s="3">
        <f>+'[1]Loja Alentejo Forum Coimbra'!$F$8</f>
        <v>94946.19</v>
      </c>
      <c r="L15" s="3">
        <f>+'[1]Loja Alentejo Forum Coimbra'!$F$10</f>
        <v>35020.400000000001</v>
      </c>
      <c r="M15" s="3">
        <f>+'[1]Loja Alentejo Forum Coimbra'!$F$12+'[1]Loja Alentejo Forum Coimbra'!$F$13+'[1]Loja Alentejo Forum Coimbra'!$F$14+'[1]Loja Alentejo Forum Coimbra'!$F$15+'[1]Loja Alentejo Forum Coimbra'!$F$29+'[1]Loja Alentejo Forum Coimbra'!$F$30</f>
        <v>35753.599999999999</v>
      </c>
      <c r="N15" s="3">
        <f>+'[1]Loja Alentejo Forum Coimbra'!$F$18</f>
        <v>9237.69</v>
      </c>
      <c r="O15" s="3">
        <f>+'[1]Loja Alentejo Forum Coimbra'!$F$16</f>
        <v>4564.7000000000007</v>
      </c>
      <c r="P15" s="3">
        <f>+'[1]Loja Alentejo Forum Coimbra'!$F$11</f>
        <v>984.45</v>
      </c>
      <c r="Q15" s="3">
        <f>+'[1]Loja Alentejo Forum Coimbra'!$F$22+'[1]Loja Alentejo Forum Coimbra'!$F$23</f>
        <v>1278.783385</v>
      </c>
      <c r="R15" s="3">
        <f>+'[1]Loja Alentejo Forum Coimbra'!$F$31</f>
        <v>8189.03</v>
      </c>
      <c r="S15" s="3">
        <f>+'[1]Loja Alentejo Forum Coimbra'!$F$17+'[1]Loja Alentejo Forum Coimbra'!$F$20+'[1]Loja Alentejo Forum Coimbra'!$F$21+'[1]Loja Alentejo Forum Coimbra'!$F$40</f>
        <v>11</v>
      </c>
      <c r="T15" s="3">
        <f t="shared" si="3"/>
        <v>-93.463384999995469</v>
      </c>
      <c r="U15" s="3">
        <f>+'[1]Loja Alentejo Forum Coimbra'!$F$24</f>
        <v>491.76</v>
      </c>
      <c r="V15" s="3">
        <f>+T15-U15</f>
        <v>-585.22338499999546</v>
      </c>
      <c r="W15" s="3">
        <f>-+'[1]Loja Alentejo Forum Coimbra'!$F$39</f>
        <v>1.47</v>
      </c>
      <c r="X15" s="3">
        <f>+'[1]Loja Alentejo Forum Coimbra'!$F$32</f>
        <v>0</v>
      </c>
      <c r="Y15" s="3">
        <f t="shared" si="1"/>
        <v>-586.69338499999549</v>
      </c>
      <c r="Z15" s="5">
        <f>IFERROR(+Table1[[#This Row],[Raw Materials]]/Table1[[#This Row],[Sales]],"")</f>
        <v>0.36884471088308018</v>
      </c>
      <c r="AA15" s="5">
        <f>IFERROR(+Table1[[#This Row],[Staff]]/Table1[[#This Row],[Sales]],"")</f>
        <v>0.37656697967554043</v>
      </c>
      <c r="AB15" s="5">
        <f>IFERROR(+Table1[[#This Row],[Rents]]/Table1[[#This Row],[Sales]],"")</f>
        <v>9.7293951447656832E-2</v>
      </c>
      <c r="AC15" s="5">
        <f>IFERROR(+Table1[[#This Row],[Utilities]]/Table1[[#This Row],[Sales]],"")</f>
        <v>4.8076705342257553E-2</v>
      </c>
      <c r="AD15" s="5">
        <f>IFERROR(+Table1[[#This Row],[Maintenance]]/Table1[[#This Row],[Sales]],"")</f>
        <v>1.0368504518190777E-2</v>
      </c>
      <c r="AE15" s="5">
        <f>IFERROR(Table1[[#This Row],[Banking costs]]/Table1[[#This Row],[Sales]],"")</f>
        <v>1.346850658251795E-2</v>
      </c>
      <c r="AF15" s="5">
        <f>IFERROR(Table1[[#This Row],[VAT]]/Table1[[#This Row],[Sales]],"")</f>
        <v>8.6249169134643519E-2</v>
      </c>
      <c r="AG15" s="5">
        <f>IFERROR(Table1[[#This Row],[Others]]/Table1[[#This Row],[Sales]],"")</f>
        <v>1.1585509644989441E-4</v>
      </c>
      <c r="AH15" s="5">
        <f>IFERROR(Table1[[#This Row],[Store Contribution]]/Table1[[#This Row],[Sales]],"")</f>
        <v>-9.8438268033709895E-4</v>
      </c>
      <c r="AI15" s="5">
        <f>IFERROR(Table1[[#This Row],[Admin. Costs]]/Table1[[#This Row],[Sales]],"")</f>
        <v>5.1793547482000069E-3</v>
      </c>
      <c r="AJ15" s="5">
        <f>IFERROR(Table1[[#This Row],[EBITDA]]/Table1[[#This Row],[Sales]],"")</f>
        <v>-6.1637374285371058E-3</v>
      </c>
      <c r="AK15" s="6">
        <f>IFERROR(Table1[[#This Row],[FCFF]]/Table1[[#This Row],[Sales]],"")</f>
        <v>-6.1792198823354101E-3</v>
      </c>
    </row>
    <row r="16" spans="1:37" x14ac:dyDescent="0.25">
      <c r="A16" s="2" t="str">
        <f t="shared" si="2"/>
        <v>Loja Alentejo Forum Coimbra</v>
      </c>
      <c r="B16" s="2" t="str">
        <f>+VLOOKUP($A16,[1]Database!$B$2:$I$120,2,FALSE)</f>
        <v>Alentejo</v>
      </c>
      <c r="C16" s="2" t="str">
        <f>+VLOOKUP($A16,[1]Database!$B$2:$I$120,3,FALSE)</f>
        <v>Central Portugal</v>
      </c>
      <c r="D16" s="2" t="str">
        <f>+VLOOKUP($A16,[1]Database!$B$2:$I$120,4,FALSE)</f>
        <v>Shopping Mall</v>
      </c>
      <c r="E16" s="2" t="str">
        <f>+VLOOKUP($A16,[1]Database!$B$2:$I$120,5,FALSE)</f>
        <v>Forum Coimbra</v>
      </c>
      <c r="F16" s="2" t="str">
        <f>+VLOOKUP($A16,[1]Database!$B$2:$I$120,6,FALSE)</f>
        <v>Bifanas do Mondego</v>
      </c>
      <c r="G16" s="2">
        <v>2025</v>
      </c>
      <c r="H16" s="2" t="s">
        <v>40</v>
      </c>
      <c r="I16" s="3">
        <f>IFERROR(('[1]Loja Alentejo Forum Coimbra'!$AB$8/+VLOOKUP($A16,[1]Database!$B$2:$I$120,8,FALSE))*Table1[[#This Row],[Sales]],"")</f>
        <v>2275313.004099119</v>
      </c>
      <c r="J16" s="4">
        <f>IFERROR(+Table1[[#This Row],[Tickets]]/Table1[[#This Row],[Sales]],"")</f>
        <v>18.281945668221816</v>
      </c>
      <c r="K16" s="3">
        <f>+'[1]Loja Alentejo Forum Coimbra'!$H$8</f>
        <v>124456.83</v>
      </c>
      <c r="L16" s="3">
        <f>+'[1]Loja Alentejo Forum Coimbra'!$H$10</f>
        <v>45095.27</v>
      </c>
      <c r="M16" s="3">
        <f>+'[1]Loja Alentejo Forum Coimbra'!$H$12+'[1]Loja Alentejo Forum Coimbra'!$H$13+'[1]Loja Alentejo Forum Coimbra'!$H$14+'[1]Loja Alentejo Forum Coimbra'!$H$15+'[1]Loja Alentejo Forum Coimbra'!$H$29+'[1]Loja Alentejo Forum Coimbra'!$H$30</f>
        <v>36583.96</v>
      </c>
      <c r="N16" s="3">
        <f>+'[1]Loja Alentejo Forum Coimbra'!$H$18</f>
        <v>9399.48</v>
      </c>
      <c r="O16" s="3">
        <f>+'[1]Loja Alentejo Forum Coimbra'!$H$16</f>
        <v>3828.3</v>
      </c>
      <c r="P16" s="3">
        <f>+'[1]Loja Alentejo Forum Coimbra'!$H$11</f>
        <v>1439.69</v>
      </c>
      <c r="Q16" s="3">
        <f>+'[1]Loja Alentejo Forum Coimbra'!$H$22+'[1]Loja Alentejo Forum Coimbra'!$H$23</f>
        <v>1381.2387299999991</v>
      </c>
      <c r="R16" s="3">
        <f>+'[1]Loja Alentejo Forum Coimbra'!$H$31</f>
        <v>6695.63</v>
      </c>
      <c r="S16" s="3">
        <f>+'[1]Loja Alentejo Forum Coimbra'!$H$17+'[1]Loja Alentejo Forum Coimbra'!$H$20+'[1]Loja Alentejo Forum Coimbra'!$H$21+'[1]Loja Alentejo Forum Coimbra'!$H$40</f>
        <v>2367.8000000000002</v>
      </c>
      <c r="T16" s="3">
        <f>+K16-SUM(L16:S16)</f>
        <v>17665.46127</v>
      </c>
      <c r="U16" s="3">
        <f>+'[1]Loja Alentejo Forum Coimbra'!$H$24</f>
        <v>445.33</v>
      </c>
      <c r="V16" s="3">
        <f>+T16-U16</f>
        <v>17220.131269999998</v>
      </c>
      <c r="W16" s="3">
        <f>-+'[1]Loja Alentejo Forum Coimbra'!$H$39</f>
        <v>11870.140000000001</v>
      </c>
      <c r="X16" s="3">
        <f>+'[1]Loja Alentejo Forum Coimbra'!$H$32</f>
        <v>0</v>
      </c>
      <c r="Y16" s="3">
        <f t="shared" si="1"/>
        <v>5349.9912699999968</v>
      </c>
      <c r="Z16" s="5">
        <f>IFERROR(+Table1[[#This Row],[Raw Materials]]/Table1[[#This Row],[Sales]],"")</f>
        <v>0.36233664315570302</v>
      </c>
      <c r="AA16" s="5">
        <f>IFERROR(+Table1[[#This Row],[Staff]]/Table1[[#This Row],[Sales]],"")</f>
        <v>0.29394899420144316</v>
      </c>
      <c r="AB16" s="5">
        <f>IFERROR(+Table1[[#This Row],[Rents]]/Table1[[#This Row],[Sales]],"")</f>
        <v>7.5524019051425292E-2</v>
      </c>
      <c r="AC16" s="5">
        <f>IFERROR(+Table1[[#This Row],[Utilities]]/Table1[[#This Row],[Sales]],"")</f>
        <v>3.0760063549746527E-2</v>
      </c>
      <c r="AD16" s="5">
        <f>IFERROR(+Table1[[#This Row],[Maintenance]]/Table1[[#This Row],[Sales]],"")</f>
        <v>1.156778619542214E-2</v>
      </c>
      <c r="AE16" s="5">
        <f>IFERROR(Table1[[#This Row],[Banking costs]]/Table1[[#This Row],[Sales]],"")</f>
        <v>1.1098135232915696E-2</v>
      </c>
      <c r="AF16" s="5">
        <f>IFERROR(Table1[[#This Row],[VAT]]/Table1[[#This Row],[Sales]],"")</f>
        <v>5.3798815219703089E-2</v>
      </c>
      <c r="AG16" s="5">
        <f>IFERROR(Table1[[#This Row],[Others]]/Table1[[#This Row],[Sales]],"")</f>
        <v>1.902507078157141E-2</v>
      </c>
      <c r="AH16" s="5">
        <f>IFERROR(Table1[[#This Row],[Store Contribution]]/Table1[[#This Row],[Sales]],"")</f>
        <v>0.14194047261206957</v>
      </c>
      <c r="AI16" s="5">
        <f>IFERROR(Table1[[#This Row],[Admin. Costs]]/Table1[[#This Row],[Sales]],"")</f>
        <v>3.5781885172553405E-3</v>
      </c>
      <c r="AJ16" s="5">
        <f>IFERROR(Table1[[#This Row],[EBITDA]]/Table1[[#This Row],[Sales]],"")</f>
        <v>0.13836228409481421</v>
      </c>
      <c r="AK16" s="6">
        <f>IFERROR(Table1[[#This Row],[FCFF]]/Table1[[#This Row],[Sales]],"")</f>
        <v>4.2986722946422438E-2</v>
      </c>
    </row>
    <row r="17" spans="1:37" x14ac:dyDescent="0.25">
      <c r="A17" s="2" t="str">
        <f t="shared" si="2"/>
        <v>Loja Alentejo Forum Coimbra</v>
      </c>
      <c r="B17" s="2" t="str">
        <f>+VLOOKUP($A17,[1]Database!$B$2:$I$120,2,FALSE)</f>
        <v>Alentejo</v>
      </c>
      <c r="C17" s="2" t="str">
        <f>+VLOOKUP($A17,[1]Database!$B$2:$I$120,3,FALSE)</f>
        <v>Central Portugal</v>
      </c>
      <c r="D17" s="2" t="str">
        <f>+VLOOKUP($A17,[1]Database!$B$2:$I$120,4,FALSE)</f>
        <v>Shopping Mall</v>
      </c>
      <c r="E17" s="2" t="str">
        <f>+VLOOKUP($A17,[1]Database!$B$2:$I$120,5,FALSE)</f>
        <v>Forum Coimbra</v>
      </c>
      <c r="F17" s="2" t="str">
        <f>+VLOOKUP($A17,[1]Database!$B$2:$I$120,6,FALSE)</f>
        <v>Bifanas do Mondego</v>
      </c>
      <c r="G17" s="2">
        <v>2025</v>
      </c>
      <c r="H17" s="2" t="s">
        <v>41</v>
      </c>
      <c r="I17" s="3">
        <f>IFERROR(('[1]Loja Alentejo Forum Coimbra'!$AB$8/+VLOOKUP($A17,[1]Database!$B$2:$I$120,8,FALSE))*Table1[[#This Row],[Sales]],"")</f>
        <v>2274470.3892232706</v>
      </c>
      <c r="J17" s="4">
        <f>IFERROR(+Table1[[#This Row],[Tickets]]/Table1[[#This Row],[Sales]],"")</f>
        <v>18.281945668221816</v>
      </c>
      <c r="K17" s="3">
        <f>+'[1]Loja Alentejo Forum Coimbra'!$J$8</f>
        <v>124410.74</v>
      </c>
      <c r="L17" s="3">
        <f>+'[1]Loja Alentejo Forum Coimbra'!$J$10</f>
        <v>53213.72</v>
      </c>
      <c r="M17" s="3">
        <f>+'[1]Loja Alentejo Forum Coimbra'!$J$12+'[1]Loja Alentejo Forum Coimbra'!$J$13+'[1]Loja Alentejo Forum Coimbra'!$J$14+'[1]Loja Alentejo Forum Coimbra'!$J$15+'[1]Loja Alentejo Forum Coimbra'!$J$29+'[1]Loja Alentejo Forum Coimbra'!$J$30</f>
        <v>36526.71</v>
      </c>
      <c r="N17" s="3">
        <f>+'[1]Loja Alentejo Forum Coimbra'!$J$18</f>
        <v>10327.799999999999</v>
      </c>
      <c r="O17" s="3">
        <f>+'[1]Loja Alentejo Forum Coimbra'!$J$16</f>
        <v>3486.3500000000004</v>
      </c>
      <c r="P17" s="3">
        <f>+'[1]Loja Alentejo Forum Coimbra'!$J$11</f>
        <v>1103.5899999999999</v>
      </c>
      <c r="Q17" s="3">
        <f>+'[1]Loja Alentejo Forum Coimbra'!$J$22+'[1]Loja Alentejo Forum Coimbra'!$J$23</f>
        <v>1665.224015</v>
      </c>
      <c r="R17" s="3">
        <f>+'[1]Loja Alentejo Forum Coimbra'!$J$31</f>
        <v>5908.85</v>
      </c>
      <c r="S17" s="3">
        <f>+'[1]Loja Alentejo Forum Coimbra'!$J$17+'[1]Loja Alentejo Forum Coimbra'!$J$20+'[1]Loja Alentejo Forum Coimbra'!$J$21+'[1]Loja Alentejo Forum Coimbra'!$J$40</f>
        <v>11</v>
      </c>
      <c r="T17" s="3">
        <f>+K17-SUM(L17:S17)</f>
        <v>12167.495985000001</v>
      </c>
      <c r="U17" s="3">
        <f>+'[1]Loja Alentejo Forum Coimbra'!$J$24</f>
        <v>445.33</v>
      </c>
      <c r="V17" s="3">
        <f>+T17-U17</f>
        <v>11722.165985000001</v>
      </c>
      <c r="W17" s="3">
        <f>-+'[1]Loja Alentejo Forum Coimbra'!$J$39</f>
        <v>-3.23</v>
      </c>
      <c r="X17" s="3">
        <f>+'[1]Loja Alentejo Forum Coimbra'!$J$32</f>
        <v>164.02</v>
      </c>
      <c r="Y17" s="3">
        <f t="shared" si="1"/>
        <v>11561.375985000001</v>
      </c>
      <c r="Z17" s="5">
        <f>IFERROR(+Table1[[#This Row],[Raw Materials]]/Table1[[#This Row],[Sales]],"")</f>
        <v>0.42772609503005932</v>
      </c>
      <c r="AA17" s="5">
        <f>IFERROR(+Table1[[#This Row],[Staff]]/Table1[[#This Row],[Sales]],"")</f>
        <v>0.2935977231547694</v>
      </c>
      <c r="AB17" s="5">
        <f>IFERROR(+Table1[[#This Row],[Rents]]/Table1[[#This Row],[Sales]],"")</f>
        <v>8.3013733380253169E-2</v>
      </c>
      <c r="AC17" s="5">
        <f>IFERROR(+Table1[[#This Row],[Utilities]]/Table1[[#This Row],[Sales]],"")</f>
        <v>2.8022902202816252E-2</v>
      </c>
      <c r="AD17" s="5">
        <f>IFERROR(+Table1[[#This Row],[Maintenance]]/Table1[[#This Row],[Sales]],"")</f>
        <v>8.8705364183188674E-3</v>
      </c>
      <c r="AE17" s="5">
        <f>IFERROR(Table1[[#This Row],[Banking costs]]/Table1[[#This Row],[Sales]],"")</f>
        <v>1.3384889560177842E-2</v>
      </c>
      <c r="AF17" s="5">
        <f>IFERROR(Table1[[#This Row],[VAT]]/Table1[[#This Row],[Sales]],"")</f>
        <v>4.7494693786083099E-2</v>
      </c>
      <c r="AG17" s="5">
        <f>IFERROR(Table1[[#This Row],[Others]]/Table1[[#This Row],[Sales]],"")</f>
        <v>8.8416803886867001E-5</v>
      </c>
      <c r="AH17" s="5">
        <f>IFERROR(Table1[[#This Row],[Store Contribution]]/Table1[[#This Row],[Sales]],"")</f>
        <v>9.7801009663635155E-2</v>
      </c>
      <c r="AI17" s="5">
        <f>IFERROR(Table1[[#This Row],[Admin. Costs]]/Table1[[#This Row],[Sales]],"")</f>
        <v>3.579514115903498E-3</v>
      </c>
      <c r="AJ17" s="5">
        <f>IFERROR(Table1[[#This Row],[EBITDA]]/Table1[[#This Row],[Sales]],"")</f>
        <v>9.4221495547731654E-2</v>
      </c>
      <c r="AK17" s="6">
        <f>IFERROR(Table1[[#This Row],[FCFF]]/Table1[[#This Row],[Sales]],"")</f>
        <v>9.2929083011643529E-2</v>
      </c>
    </row>
    <row r="18" spans="1:37" x14ac:dyDescent="0.25">
      <c r="A18" s="2" t="str">
        <f t="shared" si="2"/>
        <v>Loja Alentejo Forum Coimbra</v>
      </c>
      <c r="B18" s="2" t="str">
        <f>+VLOOKUP($A18,[1]Database!$B$2:$I$120,2,FALSE)</f>
        <v>Alentejo</v>
      </c>
      <c r="C18" s="2" t="str">
        <f>+VLOOKUP($A18,[1]Database!$B$2:$I$120,3,FALSE)</f>
        <v>Central Portugal</v>
      </c>
      <c r="D18" s="2" t="str">
        <f>+VLOOKUP($A18,[1]Database!$B$2:$I$120,4,FALSE)</f>
        <v>Shopping Mall</v>
      </c>
      <c r="E18" s="2" t="str">
        <f>+VLOOKUP($A18,[1]Database!$B$2:$I$120,5,FALSE)</f>
        <v>Forum Coimbra</v>
      </c>
      <c r="F18" s="2" t="str">
        <f>+VLOOKUP($A18,[1]Database!$B$2:$I$120,6,FALSE)</f>
        <v>Bifanas do Mondego</v>
      </c>
      <c r="G18" s="2">
        <v>2025</v>
      </c>
      <c r="H18" s="2" t="s">
        <v>42</v>
      </c>
      <c r="I18" s="3">
        <f>IFERROR(('[1]Loja Alentejo Forum Coimbra'!$AB$8/+VLOOKUP($A18,[1]Database!$B$2:$I$120,8,FALSE))*Table1[[#This Row],[Sales]],"")</f>
        <v>2544302.9491328471</v>
      </c>
      <c r="J18" s="4">
        <f>IFERROR(+Table1[[#This Row],[Tickets]]/Table1[[#This Row],[Sales]],"")</f>
        <v>18.281945668221816</v>
      </c>
      <c r="K18" s="3">
        <f>+'[1]Loja Alentejo Forum Coimbra'!$L$8</f>
        <v>139170.25</v>
      </c>
      <c r="L18" s="3">
        <f>+'[1]Loja Alentejo Forum Coimbra'!$L$10</f>
        <v>55366.87</v>
      </c>
      <c r="M18" s="3">
        <f>+'[1]Loja Alentejo Forum Coimbra'!$L$12+'[1]Loja Alentejo Forum Coimbra'!$L$13+'[1]Loja Alentejo Forum Coimbra'!$L$14+'[1]Loja Alentejo Forum Coimbra'!$L$15+'[1]Loja Alentejo Forum Coimbra'!$L$29+'[1]Loja Alentejo Forum Coimbra'!$L$30</f>
        <v>28690.57</v>
      </c>
      <c r="N18" s="3">
        <f>+'[1]Loja Alentejo Forum Coimbra'!$L$18</f>
        <v>9712.380000000001</v>
      </c>
      <c r="O18" s="3">
        <f>+'[1]Loja Alentejo Forum Coimbra'!$L$16</f>
        <v>3709.77</v>
      </c>
      <c r="P18" s="3">
        <f>+'[1]Loja Alentejo Forum Coimbra'!$L$11</f>
        <v>1015.46</v>
      </c>
      <c r="Q18" s="3">
        <f>+'[1]Loja Alentejo Forum Coimbra'!$L$22+'[1]Loja Alentejo Forum Coimbra'!$L$23</f>
        <v>2148.3566650000012</v>
      </c>
      <c r="R18" s="3">
        <f>+'[1]Loja Alentejo Forum Coimbra'!$L$31</f>
        <v>6512.41</v>
      </c>
      <c r="S18" s="3">
        <f>+'[1]Loja Alentejo Forum Coimbra'!$L$17+'[1]Loja Alentejo Forum Coimbra'!$L$20+'[1]Loja Alentejo Forum Coimbra'!$L$21+'[1]Loja Alentejo Forum Coimbra'!$L$40</f>
        <v>11</v>
      </c>
      <c r="T18" s="3">
        <f t="shared" ref="T18:T25" si="5">+K18-SUM(L18:S18)</f>
        <v>32003.43333499998</v>
      </c>
      <c r="U18" s="3">
        <f>+'[1]Loja Alentejo Forum Coimbra'!$L$24</f>
        <v>445.33</v>
      </c>
      <c r="V18" s="3">
        <f t="shared" ref="V18:V25" si="6">+T18-U18</f>
        <v>31558.103334999978</v>
      </c>
      <c r="W18" s="3">
        <f>-+'[1]Loja Alentejo Forum Coimbra'!$L$39</f>
        <v>1.97</v>
      </c>
      <c r="X18" s="3">
        <f>+'[1]Loja Alentejo Forum Coimbra'!$L$32</f>
        <v>0</v>
      </c>
      <c r="Y18" s="3">
        <f t="shared" si="1"/>
        <v>31556.133334999977</v>
      </c>
      <c r="Z18" s="5">
        <f>IFERROR(+Table1[[#This Row],[Raw Materials]]/Table1[[#This Row],[Sales]],"")</f>
        <v>0.39783552878578576</v>
      </c>
      <c r="AA18" s="5">
        <f>IFERROR(+Table1[[#This Row],[Staff]]/Table1[[#This Row],[Sales]],"")</f>
        <v>0.20615447626198846</v>
      </c>
      <c r="AB18" s="5">
        <f>IFERROR(+Table1[[#This Row],[Rents]]/Table1[[#This Row],[Sales]],"")</f>
        <v>6.9787759955881379E-2</v>
      </c>
      <c r="AC18" s="5">
        <f>IFERROR(+Table1[[#This Row],[Utilities]]/Table1[[#This Row],[Sales]],"")</f>
        <v>2.6656343579177302E-2</v>
      </c>
      <c r="AD18" s="5">
        <f>IFERROR(+Table1[[#This Row],[Maintenance]]/Table1[[#This Row],[Sales]],"")</f>
        <v>7.2965306881319827E-3</v>
      </c>
      <c r="AE18" s="5">
        <f>IFERROR(Table1[[#This Row],[Banking costs]]/Table1[[#This Row],[Sales]],"")</f>
        <v>1.543689592423669E-2</v>
      </c>
      <c r="AF18" s="5">
        <f>IFERROR(Table1[[#This Row],[VAT]]/Table1[[#This Row],[Sales]],"")</f>
        <v>4.6794555589287218E-2</v>
      </c>
      <c r="AG18" s="5">
        <f>IFERROR(Table1[[#This Row],[Others]]/Table1[[#This Row],[Sales]],"")</f>
        <v>7.9039881009051858E-5</v>
      </c>
      <c r="AH18" s="5">
        <f>IFERROR(Table1[[#This Row],[Store Contribution]]/Table1[[#This Row],[Sales]],"")</f>
        <v>0.22995886933450202</v>
      </c>
      <c r="AI18" s="5">
        <f>IFERROR(Table1[[#This Row],[Admin. Costs]]/Table1[[#This Row],[Sales]],"")</f>
        <v>3.199893655432824E-3</v>
      </c>
      <c r="AJ18" s="5">
        <f>IFERROR(Table1[[#This Row],[EBITDA]]/Table1[[#This Row],[Sales]],"")</f>
        <v>0.22675897567906919</v>
      </c>
      <c r="AK18" s="6">
        <f>IFERROR(Table1[[#This Row],[FCFF]]/Table1[[#This Row],[Sales]],"")</f>
        <v>0.22674482035492483</v>
      </c>
    </row>
    <row r="19" spans="1:37" x14ac:dyDescent="0.25">
      <c r="A19" s="2" t="str">
        <f t="shared" si="2"/>
        <v>Loja Alentejo Forum Coimbra</v>
      </c>
      <c r="B19" s="2" t="str">
        <f>+VLOOKUP($A19,[1]Database!$B$2:$I$120,2,FALSE)</f>
        <v>Alentejo</v>
      </c>
      <c r="C19" s="2" t="str">
        <f>+VLOOKUP($A19,[1]Database!$B$2:$I$120,3,FALSE)</f>
        <v>Central Portugal</v>
      </c>
      <c r="D19" s="2" t="str">
        <f>+VLOOKUP($A19,[1]Database!$B$2:$I$120,4,FALSE)</f>
        <v>Shopping Mall</v>
      </c>
      <c r="E19" s="2" t="str">
        <f>+VLOOKUP($A19,[1]Database!$B$2:$I$120,5,FALSE)</f>
        <v>Forum Coimbra</v>
      </c>
      <c r="F19" s="2" t="str">
        <f>+VLOOKUP($A19,[1]Database!$B$2:$I$120,6,FALSE)</f>
        <v>Bifanas do Mondego</v>
      </c>
      <c r="G19" s="2">
        <v>2025</v>
      </c>
      <c r="H19" s="2" t="s">
        <v>43</v>
      </c>
      <c r="I19" s="3">
        <f>IFERROR(('[1]Loja Alentejo Forum Coimbra'!$AB$8/+VLOOKUP($A19,[1]Database!$B$2:$I$120,8,FALSE))*Table1[[#This Row],[Sales]],"")</f>
        <v>2309775.751419914</v>
      </c>
      <c r="J19" s="4">
        <f>IFERROR(+Table1[[#This Row],[Tickets]]/Table1[[#This Row],[Sales]],"")</f>
        <v>18.281945668221816</v>
      </c>
      <c r="K19" s="3">
        <f>+'[1]Loja Alentejo Forum Coimbra'!$N$8</f>
        <v>126341.9</v>
      </c>
      <c r="L19" s="3">
        <f>+'[1]Loja Alentejo Forum Coimbra'!$N$10</f>
        <v>48326.57</v>
      </c>
      <c r="M19" s="3">
        <f>+'[1]Loja Alentejo Forum Coimbra'!$N$12+'[1]Loja Alentejo Forum Coimbra'!$N$13+'[1]Loja Alentejo Forum Coimbra'!$N$14+'[1]Loja Alentejo Forum Coimbra'!$N$15+'[1]Loja Alentejo Forum Coimbra'!$N$29+'[1]Loja Alentejo Forum Coimbra'!$N$30</f>
        <v>23715.000000000004</v>
      </c>
      <c r="N19" s="3">
        <f>+'[1]Loja Alentejo Forum Coimbra'!$N$18</f>
        <v>9841.17</v>
      </c>
      <c r="O19" s="3">
        <f>+'[1]Loja Alentejo Forum Coimbra'!$N$16</f>
        <v>3957.49</v>
      </c>
      <c r="P19" s="3">
        <f>+'[1]Loja Alentejo Forum Coimbra'!$N$11</f>
        <v>1605.2</v>
      </c>
      <c r="Q19" s="3">
        <f>+'[1]Loja Alentejo Forum Coimbra'!$N$22+'[1]Loja Alentejo Forum Coimbra'!$N$23</f>
        <v>1663.9819900000002</v>
      </c>
      <c r="R19" s="3">
        <f>+'[1]Loja Alentejo Forum Coimbra'!$N$31</f>
        <v>7912.88</v>
      </c>
      <c r="S19" s="3">
        <f>+'[1]Loja Alentejo Forum Coimbra'!$N$17+'[1]Loja Alentejo Forum Coimbra'!$N$20+'[1]Loja Alentejo Forum Coimbra'!$N$21+'[1]Loja Alentejo Forum Coimbra'!$N$40</f>
        <v>441.37</v>
      </c>
      <c r="T19" s="3">
        <f t="shared" si="5"/>
        <v>28878.238009999986</v>
      </c>
      <c r="U19" s="3">
        <f>+'[1]Loja Alentejo Forum Coimbra'!$N$24</f>
        <v>445.33</v>
      </c>
      <c r="V19" s="3">
        <f t="shared" si="6"/>
        <v>28432.908009999985</v>
      </c>
      <c r="W19" s="3">
        <f>-+'[1]Loja Alentejo Forum Coimbra'!$N$39</f>
        <v>630</v>
      </c>
      <c r="X19" s="3">
        <f>+'[1]Loja Alentejo Forum Coimbra'!$N$32</f>
        <v>157.5</v>
      </c>
      <c r="Y19" s="3">
        <f t="shared" si="1"/>
        <v>27645.408009999985</v>
      </c>
      <c r="Z19" s="5">
        <f>IFERROR(+Table1[[#This Row],[Raw Materials]]/Table1[[#This Row],[Sales]],"")</f>
        <v>0.3825062785979948</v>
      </c>
      <c r="AA19" s="5">
        <f>IFERROR(+Table1[[#This Row],[Staff]]/Table1[[#This Row],[Sales]],"")</f>
        <v>0.18770494982266378</v>
      </c>
      <c r="AB19" s="5">
        <f>IFERROR(+Table1[[#This Row],[Rents]]/Table1[[#This Row],[Sales]],"")</f>
        <v>7.7893161334442504E-2</v>
      </c>
      <c r="AC19" s="5">
        <f>IFERROR(+Table1[[#This Row],[Utilities]]/Table1[[#This Row],[Sales]],"")</f>
        <v>3.1323654306291103E-2</v>
      </c>
      <c r="AD19" s="5">
        <f>IFERROR(+Table1[[#This Row],[Maintenance]]/Table1[[#This Row],[Sales]],"")</f>
        <v>1.2705207061157067E-2</v>
      </c>
      <c r="AE19" s="5">
        <f>IFERROR(Table1[[#This Row],[Banking costs]]/Table1[[#This Row],[Sales]],"")</f>
        <v>1.3170468308613376E-2</v>
      </c>
      <c r="AF19" s="5">
        <f>IFERROR(Table1[[#This Row],[VAT]]/Table1[[#This Row],[Sales]],"")</f>
        <v>6.263068704839804E-2</v>
      </c>
      <c r="AG19" s="5">
        <f>IFERROR(Table1[[#This Row],[Others]]/Table1[[#This Row],[Sales]],"")</f>
        <v>3.4934570399843602E-3</v>
      </c>
      <c r="AH19" s="5">
        <f>IFERROR(Table1[[#This Row],[Store Contribution]]/Table1[[#This Row],[Sales]],"")</f>
        <v>0.22857213648045493</v>
      </c>
      <c r="AI19" s="5">
        <f>IFERROR(Table1[[#This Row],[Admin. Costs]]/Table1[[#This Row],[Sales]],"")</f>
        <v>3.5248005610173665E-3</v>
      </c>
      <c r="AJ19" s="5">
        <f>IFERROR(Table1[[#This Row],[EBITDA]]/Table1[[#This Row],[Sales]],"")</f>
        <v>0.22504733591943754</v>
      </c>
      <c r="AK19" s="6">
        <f>IFERROR(Table1[[#This Row],[FCFF]]/Table1[[#This Row],[Sales]],"")</f>
        <v>0.21881424935037375</v>
      </c>
    </row>
    <row r="20" spans="1:37" x14ac:dyDescent="0.25">
      <c r="A20" s="2" t="str">
        <f t="shared" si="2"/>
        <v>Loja Alentejo Forum Coimbra</v>
      </c>
      <c r="B20" s="2" t="str">
        <f>+VLOOKUP($A20,[1]Database!$B$2:$I$120,2,FALSE)</f>
        <v>Alentejo</v>
      </c>
      <c r="C20" s="2" t="str">
        <f>+VLOOKUP($A20,[1]Database!$B$2:$I$120,3,FALSE)</f>
        <v>Central Portugal</v>
      </c>
      <c r="D20" s="2" t="str">
        <f>+VLOOKUP($A20,[1]Database!$B$2:$I$120,4,FALSE)</f>
        <v>Shopping Mall</v>
      </c>
      <c r="E20" s="2" t="str">
        <f>+VLOOKUP($A20,[1]Database!$B$2:$I$120,5,FALSE)</f>
        <v>Forum Coimbra</v>
      </c>
      <c r="F20" s="2" t="str">
        <f>+VLOOKUP($A20,[1]Database!$B$2:$I$120,6,FALSE)</f>
        <v>Bifanas do Mondego</v>
      </c>
      <c r="G20" s="2">
        <v>2025</v>
      </c>
      <c r="H20" s="2" t="s">
        <v>44</v>
      </c>
      <c r="I20" s="3">
        <f>IFERROR(('[1]Loja Alentejo Forum Coimbra'!$AB$8/+VLOOKUP($A20,[1]Database!$B$2:$I$120,8,FALSE))*Table1[[#This Row],[Sales]],"")</f>
        <v>2387421.3685063324</v>
      </c>
      <c r="J20" s="4">
        <f>IFERROR(+Table1[[#This Row],[Tickets]]/Table1[[#This Row],[Sales]],"")</f>
        <v>18.281945668221816</v>
      </c>
      <c r="K20" s="3">
        <f>+'[1]Loja Alentejo Forum Coimbra'!$P$8</f>
        <v>130589.02</v>
      </c>
      <c r="L20" s="3">
        <f>+'[1]Loja Alentejo Forum Coimbra'!$P$10</f>
        <v>52862.09</v>
      </c>
      <c r="M20" s="3">
        <f>+'[1]Loja Alentejo Forum Coimbra'!$P$12+'[1]Loja Alentejo Forum Coimbra'!$P$13+'[1]Loja Alentejo Forum Coimbra'!$P$14+'[1]Loja Alentejo Forum Coimbra'!$P$15+'[1]Loja Alentejo Forum Coimbra'!$P$29+'[1]Loja Alentejo Forum Coimbra'!$P$30</f>
        <v>23521.71</v>
      </c>
      <c r="N20" s="3">
        <f>+'[1]Loja Alentejo Forum Coimbra'!$P$18</f>
        <v>9554.2000000000007</v>
      </c>
      <c r="O20" s="3">
        <f>+'[1]Loja Alentejo Forum Coimbra'!$P$16</f>
        <v>3202.87</v>
      </c>
      <c r="P20" s="3">
        <f>+'[1]Loja Alentejo Forum Coimbra'!$P$11</f>
        <v>872.97</v>
      </c>
      <c r="Q20" s="3">
        <f>+'[1]Loja Alentejo Forum Coimbra'!$P$22+'[1]Loja Alentejo Forum Coimbra'!$P$23</f>
        <v>1912.7865450000006</v>
      </c>
      <c r="R20" s="3">
        <f>+'[1]Loja Alentejo Forum Coimbra'!$P$31</f>
        <v>8442.7800000000007</v>
      </c>
      <c r="S20" s="3">
        <f>+'[1]Loja Alentejo Forum Coimbra'!$P$17+'[1]Loja Alentejo Forum Coimbra'!$P$20+'[1]Loja Alentejo Forum Coimbra'!$P$21+'[1]Loja Alentejo Forum Coimbra'!$P$40</f>
        <v>7826.33</v>
      </c>
      <c r="T20" s="3">
        <f t="shared" si="5"/>
        <v>22393.283455000026</v>
      </c>
      <c r="U20" s="3">
        <f>+'[1]Loja Alentejo Forum Coimbra'!$P$24</f>
        <v>445.33</v>
      </c>
      <c r="V20" s="3">
        <f t="shared" si="6"/>
        <v>21947.953455000024</v>
      </c>
      <c r="W20" s="3">
        <f>-+'[1]Loja Alentejo Forum Coimbra'!$P$39</f>
        <v>0</v>
      </c>
      <c r="X20" s="3">
        <f>+'[1]Loja Alentejo Forum Coimbra'!$P$32</f>
        <v>0</v>
      </c>
      <c r="Y20" s="3">
        <f t="shared" si="1"/>
        <v>21947.953455000024</v>
      </c>
      <c r="Z20" s="5">
        <f>IFERROR(+Table1[[#This Row],[Raw Materials]]/Table1[[#This Row],[Sales]],"")</f>
        <v>0.40479735585733007</v>
      </c>
      <c r="AA20" s="5">
        <f>IFERROR(+Table1[[#This Row],[Staff]]/Table1[[#This Row],[Sales]],"")</f>
        <v>0.18012012035927674</v>
      </c>
      <c r="AB20" s="5">
        <f>IFERROR(+Table1[[#This Row],[Rents]]/Table1[[#This Row],[Sales]],"")</f>
        <v>7.3162353159553536E-2</v>
      </c>
      <c r="AC20" s="5">
        <f>IFERROR(+Table1[[#This Row],[Utilities]]/Table1[[#This Row],[Sales]],"")</f>
        <v>2.4526334603016394E-2</v>
      </c>
      <c r="AD20" s="5">
        <f>IFERROR(+Table1[[#This Row],[Maintenance]]/Table1[[#This Row],[Sales]],"")</f>
        <v>6.6848652359899783E-3</v>
      </c>
      <c r="AE20" s="5">
        <f>IFERROR(Table1[[#This Row],[Banking costs]]/Table1[[#This Row],[Sales]],"")</f>
        <v>1.4647376517566335E-2</v>
      </c>
      <c r="AF20" s="5">
        <f>IFERROR(Table1[[#This Row],[VAT]]/Table1[[#This Row],[Sales]],"")</f>
        <v>6.4651530427290133E-2</v>
      </c>
      <c r="AG20" s="5">
        <f>IFERROR(Table1[[#This Row],[Others]]/Table1[[#This Row],[Sales]],"")</f>
        <v>5.9930995729962591E-2</v>
      </c>
      <c r="AH20" s="5">
        <f>IFERROR(Table1[[#This Row],[Store Contribution]]/Table1[[#This Row],[Sales]],"")</f>
        <v>0.17147906811001434</v>
      </c>
      <c r="AI20" s="5">
        <f>IFERROR(Table1[[#This Row],[Admin. Costs]]/Table1[[#This Row],[Sales]],"")</f>
        <v>3.4101641929773266E-3</v>
      </c>
      <c r="AJ20" s="5">
        <f>IFERROR(Table1[[#This Row],[EBITDA]]/Table1[[#This Row],[Sales]],"")</f>
        <v>0.16806890391703699</v>
      </c>
      <c r="AK20" s="6">
        <f>IFERROR(Table1[[#This Row],[FCFF]]/Table1[[#This Row],[Sales]],"")</f>
        <v>0.16806890391703699</v>
      </c>
    </row>
    <row r="21" spans="1:37" x14ac:dyDescent="0.25">
      <c r="A21" s="2" t="str">
        <f t="shared" si="2"/>
        <v>Loja Alentejo Forum Coimbra</v>
      </c>
      <c r="B21" s="2" t="str">
        <f>+VLOOKUP($A21,[1]Database!$B$2:$I$120,2,FALSE)</f>
        <v>Alentejo</v>
      </c>
      <c r="C21" s="2" t="str">
        <f>+VLOOKUP($A21,[1]Database!$B$2:$I$120,3,FALSE)</f>
        <v>Central Portugal</v>
      </c>
      <c r="D21" s="2" t="str">
        <f>+VLOOKUP($A21,[1]Database!$B$2:$I$120,4,FALSE)</f>
        <v>Shopping Mall</v>
      </c>
      <c r="E21" s="2" t="str">
        <f>+VLOOKUP($A21,[1]Database!$B$2:$I$120,5,FALSE)</f>
        <v>Forum Coimbra</v>
      </c>
      <c r="F21" s="2" t="str">
        <f>+VLOOKUP($A21,[1]Database!$B$2:$I$120,6,FALSE)</f>
        <v>Bifanas do Mondego</v>
      </c>
      <c r="G21" s="2">
        <v>2025</v>
      </c>
      <c r="H21" s="2" t="s">
        <v>45</v>
      </c>
      <c r="I21" s="3">
        <f>IFERROR(('[1]Loja Alentejo Forum Coimbra'!$AB$8/+VLOOKUP($A21,[1]Database!$B$2:$I$120,8,FALSE))*Table1[[#This Row],[Sales]],"")</f>
        <v>2739072.7652400122</v>
      </c>
      <c r="J21" s="4">
        <f>IFERROR(+Table1[[#This Row],[Tickets]]/Table1[[#This Row],[Sales]],"")</f>
        <v>18.281945668221816</v>
      </c>
      <c r="K21" s="3">
        <f>+'[1]Loja Alentejo Forum Coimbra'!$R$8</f>
        <v>149823.92000000001</v>
      </c>
      <c r="L21" s="3">
        <f>+'[1]Loja Alentejo Forum Coimbra'!$R$10</f>
        <v>60765.57</v>
      </c>
      <c r="M21" s="3">
        <f>+'[1]Loja Alentejo Forum Coimbra'!$R$12+'[1]Loja Alentejo Forum Coimbra'!$R$13+'[1]Loja Alentejo Forum Coimbra'!$R$14+'[1]Loja Alentejo Forum Coimbra'!$R$15+'[1]Loja Alentejo Forum Coimbra'!$R$29+'[1]Loja Alentejo Forum Coimbra'!$R$30</f>
        <v>48422.11</v>
      </c>
      <c r="N21" s="3">
        <f>+'[1]Loja Alentejo Forum Coimbra'!$R$18</f>
        <v>9554.2000000000007</v>
      </c>
      <c r="O21" s="3">
        <f>+'[1]Loja Alentejo Forum Coimbra'!$R$16</f>
        <v>1862.12</v>
      </c>
      <c r="P21" s="3">
        <f>+'[1]Loja Alentejo Forum Coimbra'!$R$11</f>
        <v>1376.6200000000001</v>
      </c>
      <c r="Q21" s="3">
        <f>+'[1]Loja Alentejo Forum Coimbra'!$R$22+'[1]Loja Alentejo Forum Coimbra'!$R$23</f>
        <v>1477.0165999999992</v>
      </c>
      <c r="R21" s="3">
        <f>+'[1]Loja Alentejo Forum Coimbra'!$R$31</f>
        <v>6903.63</v>
      </c>
      <c r="S21" s="3">
        <f>+'[1]Loja Alentejo Forum Coimbra'!$R$17+'[1]Loja Alentejo Forum Coimbra'!$R$20+'[1]Loja Alentejo Forum Coimbra'!$R$21+'[1]Loja Alentejo Forum Coimbra'!$R$40</f>
        <v>219.33</v>
      </c>
      <c r="T21" s="3">
        <f t="shared" si="5"/>
        <v>19243.323400000023</v>
      </c>
      <c r="U21" s="3">
        <f>+'[1]Loja Alentejo Forum Coimbra'!$R$24</f>
        <v>445.33</v>
      </c>
      <c r="V21" s="3">
        <f t="shared" si="6"/>
        <v>18797.993400000021</v>
      </c>
      <c r="W21" s="3">
        <f>-+'[1]Loja Alentejo Forum Coimbra'!$R$39</f>
        <v>1.97</v>
      </c>
      <c r="X21" s="3">
        <f>+'[1]Loja Alentejo Forum Coimbra'!$R$32</f>
        <v>0</v>
      </c>
      <c r="Y21" s="3">
        <f t="shared" si="1"/>
        <v>18796.02340000002</v>
      </c>
      <c r="Z21" s="5">
        <f>IFERROR(+Table1[[#This Row],[Raw Materials]]/Table1[[#This Row],[Sales]],"")</f>
        <v>0.40557989672143135</v>
      </c>
      <c r="AA21" s="5">
        <f>IFERROR(+Table1[[#This Row],[Staff]]/Table1[[#This Row],[Sales]],"")</f>
        <v>0.32319345268766159</v>
      </c>
      <c r="AB21" s="5">
        <f>IFERROR(+Table1[[#This Row],[Rents]]/Table1[[#This Row],[Sales]],"")</f>
        <v>6.3769523584752019E-2</v>
      </c>
      <c r="AC21" s="5">
        <f>IFERROR(+Table1[[#This Row],[Utilities]]/Table1[[#This Row],[Sales]],"")</f>
        <v>1.2428722996968707E-2</v>
      </c>
      <c r="AD21" s="5">
        <f>IFERROR(+Table1[[#This Row],[Maintenance]]/Table1[[#This Row],[Sales]],"")</f>
        <v>9.188252449942572E-3</v>
      </c>
      <c r="AE21" s="5">
        <f>IFERROR(Table1[[#This Row],[Banking costs]]/Table1[[#This Row],[Sales]],"")</f>
        <v>9.8583497214596912E-3</v>
      </c>
      <c r="AF21" s="5">
        <f>IFERROR(Table1[[#This Row],[VAT]]/Table1[[#This Row],[Sales]],"")</f>
        <v>4.6078289768416152E-2</v>
      </c>
      <c r="AG21" s="5">
        <f>IFERROR(Table1[[#This Row],[Others]]/Table1[[#This Row],[Sales]],"")</f>
        <v>1.4639184450653806E-3</v>
      </c>
      <c r="AH21" s="5">
        <f>IFERROR(Table1[[#This Row],[Store Contribution]]/Table1[[#This Row],[Sales]],"")</f>
        <v>0.1284395936243026</v>
      </c>
      <c r="AI21" s="5">
        <f>IFERROR(Table1[[#This Row],[Admin. Costs]]/Table1[[#This Row],[Sales]],"")</f>
        <v>2.9723558160806361E-3</v>
      </c>
      <c r="AJ21" s="5">
        <f>IFERROR(Table1[[#This Row],[EBITDA]]/Table1[[#This Row],[Sales]],"")</f>
        <v>0.12546723780822194</v>
      </c>
      <c r="AK21" s="6">
        <f>IFERROR(Table1[[#This Row],[FCFF]]/Table1[[#This Row],[Sales]],"")</f>
        <v>0.12545408903998786</v>
      </c>
    </row>
    <row r="22" spans="1:37" x14ac:dyDescent="0.25">
      <c r="A22" s="2" t="str">
        <f t="shared" si="2"/>
        <v>Loja Alentejo Forum Coimbra</v>
      </c>
      <c r="B22" s="2" t="str">
        <f>+VLOOKUP($A22,[1]Database!$B$2:$I$120,2,FALSE)</f>
        <v>Alentejo</v>
      </c>
      <c r="C22" s="2" t="str">
        <f>+VLOOKUP($A22,[1]Database!$B$2:$I$120,3,FALSE)</f>
        <v>Central Portugal</v>
      </c>
      <c r="D22" s="2" t="str">
        <f>+VLOOKUP($A22,[1]Database!$B$2:$I$120,4,FALSE)</f>
        <v>Shopping Mall</v>
      </c>
      <c r="E22" s="2" t="str">
        <f>+VLOOKUP($A22,[1]Database!$B$2:$I$120,5,FALSE)</f>
        <v>Forum Coimbra</v>
      </c>
      <c r="F22" s="2" t="str">
        <f>+VLOOKUP($A22,[1]Database!$B$2:$I$120,6,FALSE)</f>
        <v>Bifanas do Mondego</v>
      </c>
      <c r="G22" s="2">
        <v>2025</v>
      </c>
      <c r="H22" s="2" t="s">
        <v>46</v>
      </c>
      <c r="I22" s="3">
        <f>IFERROR(('[1]Loja Alentejo Forum Coimbra'!$AB$8/+VLOOKUP($A22,[1]Database!$B$2:$I$120,8,FALSE))*Table1[[#This Row],[Sales]],"")</f>
        <v>2535288.6701822169</v>
      </c>
      <c r="J22" s="4">
        <f>IFERROR(+Table1[[#This Row],[Tickets]]/Table1[[#This Row],[Sales]],"")</f>
        <v>18.281945668221816</v>
      </c>
      <c r="K22" s="3">
        <f>+'[1]Loja Alentejo Forum Coimbra'!$T$8</f>
        <v>138677.18</v>
      </c>
      <c r="L22" s="3">
        <f>+'[1]Loja Alentejo Forum Coimbra'!$T$10</f>
        <v>53828.86</v>
      </c>
      <c r="M22" s="3">
        <f>+'[1]Loja Alentejo Forum Coimbra'!$T$12+'[1]Loja Alentejo Forum Coimbra'!$T$13+'[1]Loja Alentejo Forum Coimbra'!$T$14+'[1]Loja Alentejo Forum Coimbra'!$T$15+'[1]Loja Alentejo Forum Coimbra'!$T$29+'[1]Loja Alentejo Forum Coimbra'!$T$30</f>
        <v>47027.579999999994</v>
      </c>
      <c r="N22" s="3">
        <f>+'[1]Loja Alentejo Forum Coimbra'!$T$18</f>
        <v>10431.09</v>
      </c>
      <c r="O22" s="3">
        <f>+'[1]Loja Alentejo Forum Coimbra'!$T$16</f>
        <v>5713.59</v>
      </c>
      <c r="P22" s="3">
        <f>+'[1]Loja Alentejo Forum Coimbra'!$T$11</f>
        <v>1034.8</v>
      </c>
      <c r="Q22" s="3">
        <f>+'[1]Loja Alentejo Forum Coimbra'!$T$22+'[1]Loja Alentejo Forum Coimbra'!$T$23</f>
        <v>2009.8949000000002</v>
      </c>
      <c r="R22" s="3">
        <f>+'[1]Loja Alentejo Forum Coimbra'!$T$31</f>
        <v>8700.77</v>
      </c>
      <c r="S22" s="3">
        <f>+'[1]Loja Alentejo Forum Coimbra'!$T$17+'[1]Loja Alentejo Forum Coimbra'!$T$20+'[1]Loja Alentejo Forum Coimbra'!$T$21+'[1]Loja Alentejo Forum Coimbra'!$T$40</f>
        <v>8032.97</v>
      </c>
      <c r="T22" s="3">
        <f t="shared" si="5"/>
        <v>1897.6251000000047</v>
      </c>
      <c r="U22" s="3">
        <f>+'[1]Loja Alentejo Forum Coimbra'!$T$24</f>
        <v>445.33</v>
      </c>
      <c r="V22" s="3">
        <f t="shared" si="6"/>
        <v>1452.2951000000048</v>
      </c>
      <c r="W22" s="3">
        <f>-+'[1]Loja Alentejo Forum Coimbra'!$T$39</f>
        <v>-0.7</v>
      </c>
      <c r="X22" s="3">
        <f>+'[1]Loja Alentejo Forum Coimbra'!$T$32</f>
        <v>442.5</v>
      </c>
      <c r="Y22" s="3">
        <f t="shared" si="1"/>
        <v>1010.4951000000049</v>
      </c>
      <c r="Z22" s="5">
        <f>IFERROR(+Table1[[#This Row],[Raw Materials]]/Table1[[#This Row],[Sales]],"")</f>
        <v>0.38815946502517573</v>
      </c>
      <c r="AA22" s="5">
        <f>IFERROR(+Table1[[#This Row],[Staff]]/Table1[[#This Row],[Sales]],"")</f>
        <v>0.33911549109954497</v>
      </c>
      <c r="AB22" s="5">
        <f>IFERROR(+Table1[[#This Row],[Rents]]/Table1[[#This Row],[Sales]],"")</f>
        <v>7.5218503866317454E-2</v>
      </c>
      <c r="AC22" s="5">
        <f>IFERROR(+Table1[[#This Row],[Utilities]]/Table1[[#This Row],[Sales]],"")</f>
        <v>4.1200650316079404E-2</v>
      </c>
      <c r="AD22" s="5">
        <f>IFERROR(+Table1[[#This Row],[Maintenance]]/Table1[[#This Row],[Sales]],"")</f>
        <v>7.4619342562345153E-3</v>
      </c>
      <c r="AE22" s="5">
        <f>IFERROR(Table1[[#This Row],[Banking costs]]/Table1[[#This Row],[Sales]],"")</f>
        <v>1.4493335529320688E-2</v>
      </c>
      <c r="AF22" s="5">
        <f>IFERROR(Table1[[#This Row],[VAT]]/Table1[[#This Row],[Sales]],"")</f>
        <v>6.2741180632603005E-2</v>
      </c>
      <c r="AG22" s="5">
        <f>IFERROR(Table1[[#This Row],[Others]]/Table1[[#This Row],[Sales]],"")</f>
        <v>5.7925680346254525E-2</v>
      </c>
      <c r="AH22" s="5">
        <f>IFERROR(Table1[[#This Row],[Store Contribution]]/Table1[[#This Row],[Sales]],"")</f>
        <v>1.3683758928469738E-2</v>
      </c>
      <c r="AI22" s="5">
        <f>IFERROR(Table1[[#This Row],[Admin. Costs]]/Table1[[#This Row],[Sales]],"")</f>
        <v>3.211270953158984E-3</v>
      </c>
      <c r="AJ22" s="5">
        <f>IFERROR(Table1[[#This Row],[EBITDA]]/Table1[[#This Row],[Sales]],"")</f>
        <v>1.0472487975310753E-2</v>
      </c>
      <c r="AK22" s="6">
        <f>IFERROR(Table1[[#This Row],[FCFF]]/Table1[[#This Row],[Sales]],"")</f>
        <v>7.2866718230065316E-3</v>
      </c>
    </row>
    <row r="23" spans="1:37" x14ac:dyDescent="0.25">
      <c r="A23" s="2" t="str">
        <f t="shared" si="2"/>
        <v>Loja Alentejo Forum Coimbra</v>
      </c>
      <c r="B23" s="2" t="str">
        <f>+VLOOKUP($A23,[1]Database!$B$2:$I$120,2,FALSE)</f>
        <v>Alentejo</v>
      </c>
      <c r="C23" s="2" t="str">
        <f>+VLOOKUP($A23,[1]Database!$B$2:$I$120,3,FALSE)</f>
        <v>Central Portugal</v>
      </c>
      <c r="D23" s="2" t="str">
        <f>+VLOOKUP($A23,[1]Database!$B$2:$I$120,4,FALSE)</f>
        <v>Shopping Mall</v>
      </c>
      <c r="E23" s="2" t="str">
        <f>+VLOOKUP($A23,[1]Database!$B$2:$I$120,5,FALSE)</f>
        <v>Forum Coimbra</v>
      </c>
      <c r="F23" s="2" t="str">
        <f>+VLOOKUP($A23,[1]Database!$B$2:$I$120,6,FALSE)</f>
        <v>Bifanas do Mondego</v>
      </c>
      <c r="G23" s="2">
        <v>2025</v>
      </c>
      <c r="H23" s="2" t="s">
        <v>47</v>
      </c>
      <c r="I23" s="3">
        <f>IFERROR(('[1]Loja Alentejo Forum Coimbra'!$AB$8/+VLOOKUP($A23,[1]Database!$B$2:$I$120,8,FALSE))*Table1[[#This Row],[Sales]],"")</f>
        <v>2368056.5831961813</v>
      </c>
      <c r="J23" s="4">
        <f>IFERROR(+Table1[[#This Row],[Tickets]]/Table1[[#This Row],[Sales]],"")</f>
        <v>18.281945668221816</v>
      </c>
      <c r="K23" s="3">
        <f>+'[1]Loja Alentejo Forum Coimbra'!$V$8</f>
        <v>129529.79</v>
      </c>
      <c r="L23" s="3">
        <f>+'[1]Loja Alentejo Forum Coimbra'!$V$10</f>
        <v>54768.21</v>
      </c>
      <c r="M23" s="3">
        <f>+'[1]Loja Alentejo Forum Coimbra'!$V$12+'[1]Loja Alentejo Forum Coimbra'!$V$13+'[1]Loja Alentejo Forum Coimbra'!$V$14+'[1]Loja Alentejo Forum Coimbra'!$V$15+'[1]Loja Alentejo Forum Coimbra'!$V$29+'[1]Loja Alentejo Forum Coimbra'!$V$30</f>
        <v>50347.5</v>
      </c>
      <c r="N23" s="3">
        <f>+'[1]Loja Alentejo Forum Coimbra'!$V$18</f>
        <v>9819.85</v>
      </c>
      <c r="O23" s="3">
        <f>+'[1]Loja Alentejo Forum Coimbra'!$V$16</f>
        <v>6307.8600000000006</v>
      </c>
      <c r="P23" s="3">
        <f>+'[1]Loja Alentejo Forum Coimbra'!$V$11</f>
        <v>442.8</v>
      </c>
      <c r="Q23" s="3">
        <f>+'[1]Loja Alentejo Forum Coimbra'!$V$22+'[1]Loja Alentejo Forum Coimbra'!$V$23</f>
        <v>1624.2052200000032</v>
      </c>
      <c r="R23" s="3">
        <f>+'[1]Loja Alentejo Forum Coimbra'!$V$31</f>
        <v>5494.69</v>
      </c>
      <c r="S23" s="3">
        <f>+'[1]Loja Alentejo Forum Coimbra'!$V$17+'[1]Loja Alentejo Forum Coimbra'!$V$20+'[1]Loja Alentejo Forum Coimbra'!$V$21+'[1]Loja Alentejo Forum Coimbra'!$V$40</f>
        <v>219.33</v>
      </c>
      <c r="T23" s="3">
        <f t="shared" si="5"/>
        <v>505.34477999998489</v>
      </c>
      <c r="U23" s="3">
        <f>+'[1]Loja Alentejo Forum Coimbra'!$V$24</f>
        <v>445.33</v>
      </c>
      <c r="V23" s="3">
        <f t="shared" si="6"/>
        <v>60.01477999998491</v>
      </c>
      <c r="W23" s="3">
        <f>-+'[1]Loja Alentejo Forum Coimbra'!$V$39</f>
        <v>-2.39</v>
      </c>
      <c r="X23" s="3">
        <f>+'[1]Loja Alentejo Forum Coimbra'!$V$32</f>
        <v>300</v>
      </c>
      <c r="Y23" s="3">
        <f t="shared" si="1"/>
        <v>-237.5952200000151</v>
      </c>
      <c r="Z23" s="5">
        <f>IFERROR(+Table1[[#This Row],[Raw Materials]]/Table1[[#This Row],[Sales]],"")</f>
        <v>0.42282327486209931</v>
      </c>
      <c r="AA23" s="5">
        <f>IFERROR(+Table1[[#This Row],[Staff]]/Table1[[#This Row],[Sales]],"")</f>
        <v>0.38869436907139276</v>
      </c>
      <c r="AB23" s="5">
        <f>IFERROR(+Table1[[#This Row],[Rents]]/Table1[[#This Row],[Sales]],"")</f>
        <v>7.5811517952742769E-2</v>
      </c>
      <c r="AC23" s="5">
        <f>IFERROR(+Table1[[#This Row],[Utilities]]/Table1[[#This Row],[Sales]],"")</f>
        <v>4.8698141176635901E-2</v>
      </c>
      <c r="AD23" s="5">
        <f>IFERROR(+Table1[[#This Row],[Maintenance]]/Table1[[#This Row],[Sales]],"")</f>
        <v>3.418518628031436E-3</v>
      </c>
      <c r="AE23" s="5">
        <f>IFERROR(Table1[[#This Row],[Banking costs]]/Table1[[#This Row],[Sales]],"")</f>
        <v>1.2539240741454172E-2</v>
      </c>
      <c r="AF23" s="5">
        <f>IFERROR(Table1[[#This Row],[VAT]]/Table1[[#This Row],[Sales]],"")</f>
        <v>4.2420280307719174E-2</v>
      </c>
      <c r="AG23" s="5">
        <f>IFERROR(Table1[[#This Row],[Others]]/Table1[[#This Row],[Sales]],"")</f>
        <v>1.6932784342505306E-3</v>
      </c>
      <c r="AH23" s="5">
        <f>IFERROR(Table1[[#This Row],[Store Contribution]]/Table1[[#This Row],[Sales]],"")</f>
        <v>3.9013788256738848E-3</v>
      </c>
      <c r="AI23" s="5">
        <f>IFERROR(Table1[[#This Row],[Admin. Costs]]/Table1[[#This Row],[Sales]],"")</f>
        <v>3.4380508144111095E-3</v>
      </c>
      <c r="AJ23" s="5">
        <f>IFERROR(Table1[[#This Row],[EBITDA]]/Table1[[#This Row],[Sales]],"")</f>
        <v>4.6332801126277526E-4</v>
      </c>
      <c r="AK23" s="6">
        <f>IFERROR(Table1[[#This Row],[FCFF]]/Table1[[#This Row],[Sales]],"")</f>
        <v>-1.8342901659920479E-3</v>
      </c>
    </row>
    <row r="24" spans="1:37" x14ac:dyDescent="0.25">
      <c r="A24" s="2" t="str">
        <f t="shared" si="2"/>
        <v>Loja Alentejo Forum Coimbra</v>
      </c>
      <c r="B24" s="2" t="str">
        <f>+VLOOKUP($A24,[1]Database!$B$2:$I$120,2,FALSE)</f>
        <v>Alentejo</v>
      </c>
      <c r="C24" s="2" t="str">
        <f>+VLOOKUP($A24,[1]Database!$B$2:$I$120,3,FALSE)</f>
        <v>Central Portugal</v>
      </c>
      <c r="D24" s="2" t="str">
        <f>+VLOOKUP($A24,[1]Database!$B$2:$I$120,4,FALSE)</f>
        <v>Shopping Mall</v>
      </c>
      <c r="E24" s="2" t="str">
        <f>+VLOOKUP($A24,[1]Database!$B$2:$I$120,5,FALSE)</f>
        <v>Forum Coimbra</v>
      </c>
      <c r="F24" s="2" t="str">
        <f>+VLOOKUP($A24,[1]Database!$B$2:$I$120,6,FALSE)</f>
        <v>Bifanas do Mondego</v>
      </c>
      <c r="G24" s="2">
        <v>2025</v>
      </c>
      <c r="H24" s="2" t="s">
        <v>48</v>
      </c>
      <c r="I24" s="3">
        <f>IFERROR(('[1]Loja Alentejo Forum Coimbra'!$AB$8/+VLOOKUP($A24,[1]Database!$B$2:$I$120,8,FALSE))*Table1[[#This Row],[Sales]],"")</f>
        <v>2461146.6051636571</v>
      </c>
      <c r="J24" s="4">
        <f>IFERROR(+Table1[[#This Row],[Tickets]]/Table1[[#This Row],[Sales]],"")</f>
        <v>18.281945668221816</v>
      </c>
      <c r="K24" s="3">
        <f>+'[1]Loja Alentejo Forum Coimbra'!$X$8</f>
        <v>134621.70000000001</v>
      </c>
      <c r="L24" s="3">
        <f>+'[1]Loja Alentejo Forum Coimbra'!$X$10</f>
        <v>51671.68</v>
      </c>
      <c r="M24" s="3">
        <f>+'[1]Loja Alentejo Forum Coimbra'!$X$12+'[1]Loja Alentejo Forum Coimbra'!$X$13+'[1]Loja Alentejo Forum Coimbra'!$X$14+'[1]Loja Alentejo Forum Coimbra'!$X$15+'[1]Loja Alentejo Forum Coimbra'!$X$29+'[1]Loja Alentejo Forum Coimbra'!$X$30</f>
        <v>53738.17</v>
      </c>
      <c r="N24" s="3">
        <f>+'[1]Loja Alentejo Forum Coimbra'!$X$18</f>
        <v>9554.2000000000007</v>
      </c>
      <c r="O24" s="3">
        <f>+'[1]Loja Alentejo Forum Coimbra'!$X$16</f>
        <v>3369.0600000000004</v>
      </c>
      <c r="P24" s="3">
        <f>+'[1]Loja Alentejo Forum Coimbra'!$X$11</f>
        <v>3245.65</v>
      </c>
      <c r="Q24" s="3">
        <f>+'[1]Loja Alentejo Forum Coimbra'!$X$22+'[1]Loja Alentejo Forum Coimbra'!$X$23</f>
        <v>0</v>
      </c>
      <c r="R24" s="3">
        <f>+'[1]Loja Alentejo Forum Coimbra'!$X$31</f>
        <v>4510.1000000000004</v>
      </c>
      <c r="S24" s="3">
        <f>+'[1]Loja Alentejo Forum Coimbra'!$X$17+'[1]Loja Alentejo Forum Coimbra'!$X$20+'[1]Loja Alentejo Forum Coimbra'!$X$21+'[1]Loja Alentejo Forum Coimbra'!$X$40</f>
        <v>219.33</v>
      </c>
      <c r="T24" s="3">
        <f t="shared" si="5"/>
        <v>8313.5100000000093</v>
      </c>
      <c r="U24" s="3">
        <f>+'[1]Loja Alentejo Forum Coimbra'!$X$24</f>
        <v>445.33</v>
      </c>
      <c r="V24" s="3">
        <f t="shared" si="6"/>
        <v>7868.1800000000094</v>
      </c>
      <c r="W24" s="3">
        <f>-+'[1]Loja Alentejo Forum Coimbra'!$X$39</f>
        <v>1765.92</v>
      </c>
      <c r="X24" s="3">
        <f>+'[1]Loja Alentejo Forum Coimbra'!$X$32</f>
        <v>457.5</v>
      </c>
      <c r="Y24" s="3">
        <f t="shared" si="1"/>
        <v>5644.7600000000093</v>
      </c>
      <c r="Z24" s="5">
        <f>IFERROR(+Table1[[#This Row],[Raw Materials]]/Table1[[#This Row],[Sales]],"")</f>
        <v>0.38382875866223642</v>
      </c>
      <c r="AA24" s="5">
        <f>IFERROR(+Table1[[#This Row],[Staff]]/Table1[[#This Row],[Sales]],"")</f>
        <v>0.39917910708303339</v>
      </c>
      <c r="AB24" s="5">
        <f>IFERROR(+Table1[[#This Row],[Rents]]/Table1[[#This Row],[Sales]],"")</f>
        <v>7.0970727601865083E-2</v>
      </c>
      <c r="AC24" s="5">
        <f>IFERROR(+Table1[[#This Row],[Utilities]]/Table1[[#This Row],[Sales]],"")</f>
        <v>2.5026128774187223E-2</v>
      </c>
      <c r="AD24" s="5">
        <f>IFERROR(+Table1[[#This Row],[Maintenance]]/Table1[[#This Row],[Sales]],"")</f>
        <v>2.4109411781310142E-2</v>
      </c>
      <c r="AE24" s="5">
        <f>IFERROR(Table1[[#This Row],[Banking costs]]/Table1[[#This Row],[Sales]],"")</f>
        <v>0</v>
      </c>
      <c r="AF24" s="5">
        <f>IFERROR(Table1[[#This Row],[VAT]]/Table1[[#This Row],[Sales]],"")</f>
        <v>3.3502028276273438E-2</v>
      </c>
      <c r="AG24" s="5">
        <f>IFERROR(Table1[[#This Row],[Others]]/Table1[[#This Row],[Sales]],"")</f>
        <v>1.6292321371665934E-3</v>
      </c>
      <c r="AH24" s="5">
        <f>IFERROR(Table1[[#This Row],[Store Contribution]]/Table1[[#This Row],[Sales]],"")</f>
        <v>6.1754605683927689E-2</v>
      </c>
      <c r="AI24" s="5">
        <f>IFERROR(Table1[[#This Row],[Admin. Costs]]/Table1[[#This Row],[Sales]],"")</f>
        <v>3.3080105213349701E-3</v>
      </c>
      <c r="AJ24" s="5">
        <f>IFERROR(Table1[[#This Row],[EBITDA]]/Table1[[#This Row],[Sales]],"")</f>
        <v>5.8446595162592721E-2</v>
      </c>
      <c r="AK24" s="6">
        <f>IFERROR(Table1[[#This Row],[FCFF]]/Table1[[#This Row],[Sales]],"")</f>
        <v>4.1930535716010187E-2</v>
      </c>
    </row>
    <row r="25" spans="1:37" x14ac:dyDescent="0.25">
      <c r="A25" s="2" t="str">
        <f t="shared" si="2"/>
        <v>Loja Alentejo Forum Coimbra</v>
      </c>
      <c r="B25" s="2" t="str">
        <f>+VLOOKUP($A25,[1]Database!$B$2:$I$120,2,FALSE)</f>
        <v>Alentejo</v>
      </c>
      <c r="C25" s="2" t="str">
        <f>+VLOOKUP($A25,[1]Database!$B$2:$I$120,3,FALSE)</f>
        <v>Central Portugal</v>
      </c>
      <c r="D25" s="2" t="str">
        <f>+VLOOKUP($A25,[1]Database!$B$2:$I$120,4,FALSE)</f>
        <v>Shopping Mall</v>
      </c>
      <c r="E25" s="2" t="str">
        <f>+VLOOKUP($A25,[1]Database!$B$2:$I$120,5,FALSE)</f>
        <v>Forum Coimbra</v>
      </c>
      <c r="F25" s="2" t="str">
        <f>+VLOOKUP($A25,[1]Database!$B$2:$I$120,6,FALSE)</f>
        <v>Bifanas do Mondego</v>
      </c>
      <c r="G25" s="2">
        <v>2025</v>
      </c>
      <c r="H25" s="2" t="s">
        <v>49</v>
      </c>
      <c r="I25" s="3">
        <f>IFERROR(('[1]Loja Alentejo Forum Coimbra'!$AB$8/+VLOOKUP($A25,[1]Database!$B$2:$I$120,8,FALSE))*Table1[[#This Row],[Sales]],"")</f>
        <v>2810271.4370059883</v>
      </c>
      <c r="J25" s="4">
        <f>IFERROR(+Table1[[#This Row],[Tickets]]/Table1[[#This Row],[Sales]],"")</f>
        <v>18.281945668221816</v>
      </c>
      <c r="K25" s="3">
        <f>+'[1]Loja Alentejo Forum Coimbra'!$Z$8</f>
        <v>153718.39999999999</v>
      </c>
      <c r="L25" s="3">
        <f>+'[1]Loja Alentejo Forum Coimbra'!$Z$10</f>
        <v>55120.07</v>
      </c>
      <c r="M25" s="3">
        <f>+'[1]Loja Alentejo Forum Coimbra'!$Z$12+'[1]Loja Alentejo Forum Coimbra'!$Z$13+'[1]Loja Alentejo Forum Coimbra'!$Z$14+'[1]Loja Alentejo Forum Coimbra'!$Z$15+'[1]Loja Alentejo Forum Coimbra'!$Z$29+'[1]Loja Alentejo Forum Coimbra'!$Z$30</f>
        <v>54163.46</v>
      </c>
      <c r="N25" s="3">
        <f>+'[1]Loja Alentejo Forum Coimbra'!$Z$18</f>
        <v>33.409999999999997</v>
      </c>
      <c r="O25" s="3">
        <f>+'[1]Loja Alentejo Forum Coimbra'!$Z$16</f>
        <v>3338.75</v>
      </c>
      <c r="P25" s="3">
        <f>+'[1]Loja Alentejo Forum Coimbra'!$Z$11</f>
        <v>1808.84</v>
      </c>
      <c r="Q25" s="3">
        <f>+'[1]Loja Alentejo Forum Coimbra'!$Z$22+'[1]Loja Alentejo Forum Coimbra'!$Z$23</f>
        <v>0</v>
      </c>
      <c r="R25" s="3">
        <f>+'[1]Loja Alentejo Forum Coimbra'!$Z$31</f>
        <v>1917.84</v>
      </c>
      <c r="S25" s="3">
        <f>+'[1]Loja Alentejo Forum Coimbra'!$Z$17+'[1]Loja Alentejo Forum Coimbra'!$Z$20+'[1]Loja Alentejo Forum Coimbra'!$Z$21+'[1]Loja Alentejo Forum Coimbra'!$Z$40</f>
        <v>7815.33</v>
      </c>
      <c r="T25" s="3">
        <f t="shared" si="5"/>
        <v>29520.699999999997</v>
      </c>
      <c r="U25" s="3">
        <f>+'[1]Loja Alentejo Forum Coimbra'!$Z$24</f>
        <v>445.33</v>
      </c>
      <c r="V25" s="3">
        <f t="shared" si="6"/>
        <v>29075.369999999995</v>
      </c>
      <c r="W25" s="3">
        <f>-+'[1]Loja Alentejo Forum Coimbra'!$Z$39</f>
        <v>0</v>
      </c>
      <c r="X25" s="3">
        <f>+'[1]Loja Alentejo Forum Coimbra'!$Z$32</f>
        <v>457.5</v>
      </c>
      <c r="Y25" s="3">
        <f t="shared" si="1"/>
        <v>28617.869999999995</v>
      </c>
      <c r="Z25" s="5">
        <f>IFERROR(+Table1[[#This Row],[Raw Materials]]/Table1[[#This Row],[Sales]],"")</f>
        <v>0.35857821835251996</v>
      </c>
      <c r="AA25" s="5">
        <f>IFERROR(+Table1[[#This Row],[Staff]]/Table1[[#This Row],[Sales]],"")</f>
        <v>0.35235508566313467</v>
      </c>
      <c r="AB25" s="5">
        <f>IFERROR(+Table1[[#This Row],[Rents]]/Table1[[#This Row],[Sales]],"")</f>
        <v>2.1734548368965587E-4</v>
      </c>
      <c r="AC25" s="5">
        <f>IFERROR(+Table1[[#This Row],[Utilities]]/Table1[[#This Row],[Sales]],"")</f>
        <v>2.1719911214272334E-2</v>
      </c>
      <c r="AD25" s="5">
        <f>IFERROR(+Table1[[#This Row],[Maintenance]]/Table1[[#This Row],[Sales]],"")</f>
        <v>1.1767231509045111E-2</v>
      </c>
      <c r="AE25" s="5">
        <f>IFERROR(Table1[[#This Row],[Banking costs]]/Table1[[#This Row],[Sales]],"")</f>
        <v>0</v>
      </c>
      <c r="AF25" s="5">
        <f>IFERROR(Table1[[#This Row],[VAT]]/Table1[[#This Row],[Sales]],"")</f>
        <v>1.2476320336407352E-2</v>
      </c>
      <c r="AG25" s="5">
        <f>IFERROR(Table1[[#This Row],[Others]]/Table1[[#This Row],[Sales]],"")</f>
        <v>5.0841864083935304E-2</v>
      </c>
      <c r="AH25" s="5">
        <f>IFERROR(Table1[[#This Row],[Store Contribution]]/Table1[[#This Row],[Sales]],"")</f>
        <v>0.19204402335699564</v>
      </c>
      <c r="AI25" s="5">
        <f>IFERROR(Table1[[#This Row],[Admin. Costs]]/Table1[[#This Row],[Sales]],"")</f>
        <v>2.8970507109103401E-3</v>
      </c>
      <c r="AJ25" s="5">
        <f>IFERROR(Table1[[#This Row],[EBITDA]]/Table1[[#This Row],[Sales]],"")</f>
        <v>0.18914697264608529</v>
      </c>
      <c r="AK25" s="6">
        <f>IFERROR(Table1[[#This Row],[FCFF]]/Table1[[#This Row],[Sales]],"")</f>
        <v>0.18617075119178964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Loja Alentejo Forum Coimbra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Bessa Mendes</dc:creator>
  <cp:lastModifiedBy>Luís Bessa Mendes</cp:lastModifiedBy>
  <dcterms:created xsi:type="dcterms:W3CDTF">2026-03-20T19:21:03Z</dcterms:created>
  <dcterms:modified xsi:type="dcterms:W3CDTF">2026-03-20T21:57:35Z</dcterms:modified>
</cp:coreProperties>
</file>